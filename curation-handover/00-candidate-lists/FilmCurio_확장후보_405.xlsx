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략 요약" sheetId="1" state="visible" r:id="rId3"/>
    <sheet name="후보 405" sheetId="2" state="visible" r:id="rId4"/>
    <sheet name="웨이브 계획" sheetId="3" state="visible" r:id="rId5"/>
    <sheet name="Import (3열)" sheetId="4" state="visible" r:id="rId6"/>
  </sheets>
  <definedNames>
    <definedName function="false" hidden="true" localSheetId="1" name="_xlnm._FilterDatabase" vbProcedure="false">'후보 405'!$A$1:$G$406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<sst xmlns="http://schemas.openxmlformats.org/spreadsheetml/2006/main" count="3304" uniqueCount="1300">
  <si>
    <r>
      <rPr>
        <b val="true"/>
        <sz val="16"/>
        <color rgb="FF1F2A44"/>
        <rFont val="Arial"/>
        <family val="0"/>
        <charset val="1"/>
      </rPr>
      <t xml:space="preserve">FilmCurio / Metatake — </t>
    </r>
    <r>
      <rPr>
        <b val="true"/>
        <sz val="16"/>
        <color rgb="FF1F2A44"/>
        <rFont val="Noto Sans CJK SC"/>
        <family val="2"/>
      </rPr>
      <t xml:space="preserve">영화 카탈로그 확장 전략</t>
    </r>
  </si>
  <si>
    <r>
      <rPr>
        <sz val="9"/>
        <color rgb="FF6B7280"/>
        <rFont val="Noto Sans CJK SC"/>
        <family val="2"/>
      </rPr>
      <t xml:space="preserve">작성일 </t>
    </r>
    <r>
      <rPr>
        <sz val="9"/>
        <color rgb="FF6B7280"/>
        <rFont val="Arial"/>
        <family val="0"/>
        <charset val="1"/>
      </rPr>
      <t xml:space="preserve">2026-06-16 · </t>
    </r>
    <r>
      <rPr>
        <sz val="9"/>
        <color rgb="FF6B7280"/>
        <rFont val="Noto Sans CJK SC"/>
        <family val="2"/>
      </rPr>
      <t xml:space="preserve">기준 데이터</t>
    </r>
    <r>
      <rPr>
        <sz val="9"/>
        <color rgb="FF6B7280"/>
        <rFont val="Arial"/>
        <family val="0"/>
        <charset val="1"/>
      </rPr>
      <t xml:space="preserve">: metatake_films_567.csv + figures_takes_4662.csv</t>
    </r>
  </si>
  <si>
    <t xml:space="preserve">현황</t>
  </si>
  <si>
    <t xml:space="preserve">현재 카탈로그</t>
  </si>
  <si>
    <r>
      <rPr>
        <sz val="10"/>
        <color rgb="FF222222"/>
        <rFont val="Arial"/>
        <family val="0"/>
        <charset val="1"/>
      </rPr>
      <t xml:space="preserve">567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실질 </t>
    </r>
    <r>
      <rPr>
        <sz val="10"/>
        <color rgb="FF222222"/>
        <rFont val="Arial"/>
        <family val="0"/>
        <charset val="1"/>
      </rPr>
      <t xml:space="preserve">~555</t>
    </r>
    <r>
      <rPr>
        <sz val="10"/>
        <color rgb="FF222222"/>
        <rFont val="Noto Sans CJK SC"/>
        <family val="2"/>
      </rPr>
      <t xml:space="preserve">편 — 중복 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+ TMDB </t>
    </r>
    <r>
      <rPr>
        <sz val="10"/>
        <color rgb="FF222222"/>
        <rFont val="Noto Sans CJK SC"/>
        <family val="2"/>
      </rPr>
      <t xml:space="preserve">오매칭 노이즈 </t>
    </r>
    <r>
      <rPr>
        <sz val="10"/>
        <color rgb="FF222222"/>
        <rFont val="Arial"/>
        <family val="0"/>
        <charset val="1"/>
      </rPr>
      <t xml:space="preserve">~10</t>
    </r>
    <r>
      <rPr>
        <sz val="10"/>
        <color rgb="FF222222"/>
        <rFont val="Noto Sans CJK SC"/>
        <family val="2"/>
      </rPr>
      <t xml:space="preserve">편 정리 필요</t>
    </r>
    <r>
      <rPr>
        <sz val="10"/>
        <color rgb="FF222222"/>
        <rFont val="Arial"/>
        <family val="0"/>
        <charset val="1"/>
      </rPr>
      <t xml:space="preserve">)</t>
    </r>
  </si>
  <si>
    <t xml:space="preserve">최종 목표</t>
  </si>
  <si>
    <r>
      <rPr>
        <sz val="10"/>
        <color rgb="FF222222"/>
        <rFont val="Arial"/>
        <family val="0"/>
        <charset val="1"/>
      </rPr>
      <t xml:space="preserve">1,000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(MASTER.md </t>
    </r>
    <r>
      <rPr>
        <sz val="10"/>
        <color rgb="FF222222"/>
        <rFont val="Noto Sans CJK SC"/>
        <family val="2"/>
      </rPr>
      <t xml:space="preserve">명시</t>
    </r>
    <r>
      <rPr>
        <sz val="10"/>
        <color rgb="FF222222"/>
        <rFont val="Arial"/>
        <family val="0"/>
        <charset val="1"/>
      </rPr>
      <t xml:space="preserve">)</t>
    </r>
  </si>
  <si>
    <t xml:space="preserve">이 리스트</t>
  </si>
  <si>
    <r>
      <rPr>
        <sz val="10"/>
        <color rgb="FF222222"/>
        <rFont val="Noto Sans CJK SC"/>
        <family val="2"/>
      </rPr>
      <t xml:space="preserve">신규 후보 </t>
    </r>
    <r>
      <rPr>
        <sz val="10"/>
        <color rgb="FF222222"/>
        <rFont val="Arial"/>
        <family val="0"/>
        <charset val="1"/>
      </rPr>
      <t xml:space="preserve">405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· </t>
    </r>
    <r>
      <rPr>
        <sz val="10"/>
        <color rgb="FF222222"/>
        <rFont val="Noto Sans CJK SC"/>
        <family val="2"/>
      </rPr>
      <t xml:space="preserve">기존과 중복 </t>
    </r>
    <r>
      <rPr>
        <sz val="10"/>
        <color rgb="FF222222"/>
        <rFont val="Arial"/>
        <family val="0"/>
        <charset val="1"/>
      </rPr>
      <t xml:space="preserve">0 · 405</t>
    </r>
    <r>
      <rPr>
        <sz val="10"/>
        <color rgb="FF222222"/>
        <rFont val="Noto Sans CJK SC"/>
        <family val="2"/>
      </rPr>
      <t xml:space="preserve">편 추가 시 ≈ </t>
    </r>
    <r>
      <rPr>
        <sz val="10"/>
        <color rgb="FF222222"/>
        <rFont val="Arial"/>
        <family val="0"/>
        <charset val="1"/>
      </rPr>
      <t xml:space="preserve">960</t>
    </r>
    <r>
      <rPr>
        <sz val="10"/>
        <color rgb="FF222222"/>
        <rFont val="Noto Sans CJK SC"/>
        <family val="2"/>
      </rPr>
      <t xml:space="preserve">편</t>
    </r>
  </si>
  <si>
    <t xml:space="preserve">진단 — 핵심 빈틈</t>
  </si>
  <si>
    <t xml:space="preserve">시대 편향</t>
  </si>
  <si>
    <r>
      <rPr>
        <sz val="10"/>
        <color rgb="FF222222"/>
        <rFont val="Arial"/>
        <family val="0"/>
        <charset val="1"/>
      </rPr>
      <t xml:space="preserve">1990–2010</t>
    </r>
    <r>
      <rPr>
        <sz val="10"/>
        <color rgb="FF222222"/>
        <rFont val="Noto Sans CJK SC"/>
        <family val="2"/>
      </rPr>
      <t xml:space="preserve">년대에 </t>
    </r>
    <r>
      <rPr>
        <sz val="10"/>
        <color rgb="FF222222"/>
        <rFont val="Arial"/>
        <family val="0"/>
        <charset val="1"/>
      </rPr>
      <t xml:space="preserve">439</t>
    </r>
    <r>
      <rPr>
        <sz val="10"/>
        <color rgb="FF222222"/>
        <rFont val="Noto Sans CJK SC"/>
        <family val="2"/>
      </rPr>
      <t xml:space="preserve">편 집중</t>
    </r>
    <r>
      <rPr>
        <sz val="10"/>
        <color rgb="FF222222"/>
        <rFont val="Arial"/>
        <family val="0"/>
        <charset val="1"/>
      </rPr>
      <t xml:space="preserve">. 1980</t>
    </r>
    <r>
      <rPr>
        <sz val="10"/>
        <color rgb="FF222222"/>
        <rFont val="Noto Sans CJK SC"/>
        <family val="2"/>
      </rPr>
      <t xml:space="preserve">년 이전 거의 공백</t>
    </r>
    <r>
      <rPr>
        <sz val="10"/>
        <color rgb="FF222222"/>
        <rFont val="Arial"/>
        <family val="0"/>
        <charset val="1"/>
      </rPr>
      <t xml:space="preserve">(1970s 6</t>
    </r>
    <r>
      <rPr>
        <sz val="10"/>
        <color rgb="FF222222"/>
        <rFont val="Noto Sans CJK SC"/>
        <family val="2"/>
      </rPr>
      <t xml:space="preserve">편</t>
    </r>
    <r>
      <rPr>
        <sz val="10"/>
        <color rgb="FF222222"/>
        <rFont val="Arial"/>
        <family val="0"/>
        <charset val="1"/>
      </rPr>
      <t xml:space="preserve">, 1960s 1</t>
    </r>
    <r>
      <rPr>
        <sz val="10"/>
        <color rgb="FF222222"/>
        <rFont val="Noto Sans CJK SC"/>
        <family val="2"/>
      </rPr>
      <t xml:space="preserve">편</t>
    </r>
    <r>
      <rPr>
        <sz val="10"/>
        <color rgb="FF222222"/>
        <rFont val="Arial"/>
        <family val="0"/>
        <charset val="1"/>
      </rPr>
      <t xml:space="preserve">) = </t>
    </r>
    <r>
      <rPr>
        <sz val="10"/>
        <color rgb="FF222222"/>
        <rFont val="Noto Sans CJK SC"/>
        <family val="2"/>
      </rPr>
      <t xml:space="preserve">최대 구멍</t>
    </r>
  </si>
  <si>
    <r>
      <rPr>
        <sz val="10"/>
        <color rgb="FF222222"/>
        <rFont val="Arial"/>
        <family val="0"/>
        <charset val="1"/>
      </rPr>
      <t xml:space="preserve">'</t>
    </r>
    <r>
      <rPr>
        <sz val="10"/>
        <color rgb="FF222222"/>
        <rFont val="Noto Sans CJK SC"/>
        <family val="2"/>
      </rPr>
      <t xml:space="preserve">상징 없는 유명작</t>
    </r>
    <r>
      <rPr>
        <sz val="10"/>
        <color rgb="FF222222"/>
        <rFont val="Arial"/>
        <family val="0"/>
        <charset val="1"/>
      </rPr>
      <t xml:space="preserve">' </t>
    </r>
    <r>
      <rPr>
        <sz val="10"/>
        <color rgb="FF222222"/>
        <rFont val="Noto Sans CJK SC"/>
        <family val="2"/>
      </rPr>
      <t xml:space="preserve">우려</t>
    </r>
  </si>
  <si>
    <r>
      <rPr>
        <sz val="10"/>
        <color rgb="FF222222"/>
        <rFont val="Noto Sans CJK SC"/>
        <family val="2"/>
      </rPr>
      <t xml:space="preserve">데이터상 거의 없음 — 형상 산출량 평균 </t>
    </r>
    <r>
      <rPr>
        <sz val="10"/>
        <color rgb="FF222222"/>
        <rFont val="Arial"/>
        <family val="0"/>
        <charset val="1"/>
      </rPr>
      <t xml:space="preserve">8.2</t>
    </r>
    <r>
      <rPr>
        <sz val="10"/>
        <color rgb="FF222222"/>
        <rFont val="Noto Sans CJK SC"/>
        <family val="2"/>
      </rPr>
      <t xml:space="preserve">개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편</t>
    </r>
    <r>
      <rPr>
        <sz val="10"/>
        <color rgb="FF222222"/>
        <rFont val="Arial"/>
        <family val="0"/>
        <charset val="1"/>
      </rPr>
      <t xml:space="preserve">, </t>
    </r>
    <r>
      <rPr>
        <sz val="10"/>
        <color rgb="FF222222"/>
        <rFont val="Noto Sans CJK SC"/>
        <family val="2"/>
      </rPr>
      <t xml:space="preserve">대중영화도 풍부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오션스</t>
    </r>
    <r>
      <rPr>
        <sz val="10"/>
        <color rgb="FF222222"/>
        <rFont val="Arial"/>
        <family val="0"/>
        <charset val="1"/>
      </rPr>
      <t xml:space="preserve">11=17, 300=15)</t>
    </r>
  </si>
  <si>
    <t xml:space="preserve">지역 빈틈</t>
  </si>
  <si>
    <r>
      <rPr>
        <sz val="10"/>
        <color rgb="FF222222"/>
        <rFont val="Noto Sans CJK SC"/>
        <family val="2"/>
      </rPr>
      <t xml:space="preserve">인도</t>
    </r>
    <r>
      <rPr>
        <sz val="10"/>
        <color rgb="FF222222"/>
        <rFont val="Arial"/>
        <family val="0"/>
        <charset val="1"/>
      </rPr>
      <t xml:space="preserve">(Ray)·</t>
    </r>
    <r>
      <rPr>
        <sz val="10"/>
        <color rgb="FF222222"/>
        <rFont val="Noto Sans CJK SC"/>
        <family val="2"/>
      </rPr>
      <t xml:space="preserve">아프리카</t>
    </r>
    <r>
      <rPr>
        <sz val="10"/>
        <color rgb="FF222222"/>
        <rFont val="Arial"/>
        <family val="0"/>
        <charset val="1"/>
      </rPr>
      <t xml:space="preserve">(Sembène)·</t>
    </r>
    <r>
      <rPr>
        <sz val="10"/>
        <color rgb="FF222222"/>
        <rFont val="Noto Sans CJK SC"/>
        <family val="2"/>
      </rPr>
      <t xml:space="preserve">대만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홍콩 뉴웨이브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고전 유럽 정전</t>
    </r>
  </si>
  <si>
    <t xml:space="preserve">큐레이션 기준 — 모든 후보가 동시 통과</t>
  </si>
  <si>
    <t xml:space="preserve">① 도달성</t>
  </si>
  <si>
    <r>
      <rPr>
        <sz val="10"/>
        <color rgb="FF222222"/>
        <rFont val="Arial"/>
        <family val="0"/>
        <charset val="1"/>
      </rPr>
      <t xml:space="preserve">Criterion · Mubi · Kanopy · TSPDT 1000 · Sight&amp;Sound · </t>
    </r>
    <r>
      <rPr>
        <sz val="10"/>
        <color rgb="FF222222"/>
        <rFont val="Noto Sans CJK SC"/>
        <family val="2"/>
      </rPr>
      <t xml:space="preserve">영화제 수상 </t>
    </r>
    <r>
      <rPr>
        <sz val="10"/>
        <color rgb="FF222222"/>
        <rFont val="Arial"/>
        <family val="0"/>
        <charset val="1"/>
      </rPr>
      <t xml:space="preserve">· </t>
    </r>
    <r>
      <rPr>
        <sz val="10"/>
        <color rgb="FF222222"/>
        <rFont val="Noto Sans CJK SC"/>
        <family val="2"/>
      </rPr>
      <t xml:space="preserve">스트리밍 인기 중 ≥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곳 큐레이션</t>
    </r>
  </si>
  <si>
    <t xml:space="preserve">② 밀도</t>
  </si>
  <si>
    <r>
      <rPr>
        <sz val="10"/>
        <color rgb="FF222222"/>
        <rFont val="Noto Sans CJK SC"/>
        <family val="2"/>
      </rPr>
      <t xml:space="preserve">학술 비평 문헌 존재 </t>
    </r>
    <r>
      <rPr>
        <sz val="10"/>
        <color rgb="FF222222"/>
        <rFont val="Arial"/>
        <family val="0"/>
        <charset val="1"/>
      </rPr>
      <t xml:space="preserve">= figure-enrich </t>
    </r>
    <r>
      <rPr>
        <sz val="10"/>
        <color rgb="FF222222"/>
        <rFont val="Noto Sans CJK SC"/>
        <family val="2"/>
      </rPr>
      <t xml:space="preserve">엔진의 원료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유명 ≠ 충분</t>
    </r>
    <r>
      <rPr>
        <sz val="10"/>
        <color rgb="FF222222"/>
        <rFont val="Arial"/>
        <family val="0"/>
        <charset val="1"/>
      </rPr>
      <t xml:space="preserve">, </t>
    </r>
    <r>
      <rPr>
        <sz val="10"/>
        <color rgb="FF222222"/>
        <rFont val="Noto Sans CJK SC"/>
        <family val="2"/>
      </rPr>
      <t xml:space="preserve">비평이 써진 작품</t>
    </r>
    <r>
      <rPr>
        <sz val="10"/>
        <color rgb="FF222222"/>
        <rFont val="Arial"/>
        <family val="0"/>
        <charset val="1"/>
      </rPr>
      <t xml:space="preserve">)</t>
    </r>
  </si>
  <si>
    <t xml:space="preserve">③ 그래프 응집</t>
  </si>
  <si>
    <r>
      <rPr>
        <sz val="10"/>
        <color rgb="FF222222"/>
        <rFont val="Noto Sans CJK SC"/>
        <family val="2"/>
      </rPr>
      <t xml:space="preserve">기존 메타테이크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오퇴르에 연결되는 작품 우선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고아 노드 회피</t>
    </r>
    <r>
      <rPr>
        <sz val="10"/>
        <color rgb="FF222222"/>
        <rFont val="Arial"/>
        <family val="0"/>
        <charset val="1"/>
      </rPr>
      <t xml:space="preserve">) — Why </t>
    </r>
    <r>
      <rPr>
        <sz val="10"/>
        <color rgb="FF222222"/>
        <rFont val="Noto Sans CJK SC"/>
        <family val="2"/>
      </rPr>
      <t xml:space="preserve">열에 표기</t>
    </r>
  </si>
  <si>
    <r>
      <rPr>
        <b val="true"/>
        <sz val="11"/>
        <color rgb="FFFFFFFF"/>
        <rFont val="Arial"/>
        <family val="0"/>
        <charset val="1"/>
      </rPr>
      <t xml:space="preserve">3 </t>
    </r>
    <r>
      <rPr>
        <b val="true"/>
        <sz val="11"/>
        <color rgb="FFFFFFFF"/>
        <rFont val="Noto Sans CJK SC"/>
        <family val="2"/>
      </rPr>
      <t xml:space="preserve">바구니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가중치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</si>
  <si>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222222"/>
        <rFont val="Noto Sans CJK SC"/>
        <family val="2"/>
      </rPr>
      <t xml:space="preserve">클래식 정전 </t>
    </r>
    <r>
      <rPr>
        <sz val="10"/>
        <color rgb="FF222222"/>
        <rFont val="Arial"/>
        <family val="0"/>
        <charset val="1"/>
      </rPr>
      <t xml:space="preserve">backfill</t>
    </r>
  </si>
  <si>
    <r>
      <rPr>
        <sz val="10"/>
        <color rgb="FF222222"/>
        <rFont val="Arial"/>
        <family val="0"/>
        <charset val="1"/>
      </rPr>
      <t xml:space="preserve">164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(40%) — </t>
    </r>
    <r>
      <rPr>
        <sz val="10"/>
        <color rgb="FF222222"/>
        <rFont val="Noto Sans CJK SC"/>
        <family val="2"/>
      </rPr>
      <t xml:space="preserve">유명 </t>
    </r>
    <r>
      <rPr>
        <sz val="10"/>
        <color rgb="FF222222"/>
        <rFont val="Arial"/>
        <family val="0"/>
        <charset val="1"/>
      </rPr>
      <t xml:space="preserve">× </t>
    </r>
    <r>
      <rPr>
        <sz val="10"/>
        <color rgb="FF222222"/>
        <rFont val="Noto Sans CJK SC"/>
        <family val="2"/>
      </rPr>
      <t xml:space="preserve">상징 밀도 최고 교집합</t>
    </r>
    <r>
      <rPr>
        <sz val="10"/>
        <color rgb="FF222222"/>
        <rFont val="Arial"/>
        <family val="0"/>
        <charset val="1"/>
      </rPr>
      <t xml:space="preserve">. </t>
    </r>
    <r>
      <rPr>
        <sz val="10"/>
        <color rgb="FF222222"/>
        <rFont val="Noto Sans CJK SC"/>
        <family val="2"/>
      </rPr>
      <t xml:space="preserve">이론의 원천 텍스트들</t>
    </r>
  </si>
  <si>
    <t xml:space="preserve">동시대 큐레이션</t>
  </si>
  <si>
    <r>
      <rPr>
        <sz val="10"/>
        <color rgb="FF222222"/>
        <rFont val="Arial"/>
        <family val="0"/>
        <charset val="1"/>
      </rPr>
      <t xml:space="preserve">132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(33%) — 2018–2026 </t>
    </r>
    <r>
      <rPr>
        <sz val="10"/>
        <color rgb="FF222222"/>
        <rFont val="Noto Sans CJK SC"/>
        <family val="2"/>
      </rPr>
      <t xml:space="preserve">영화제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스트리밍</t>
    </r>
    <r>
      <rPr>
        <sz val="10"/>
        <color rgb="FF222222"/>
        <rFont val="Arial"/>
        <family val="0"/>
        <charset val="1"/>
      </rPr>
      <t xml:space="preserve">·A24. </t>
    </r>
    <r>
      <rPr>
        <sz val="10"/>
        <color rgb="FF222222"/>
        <rFont val="Noto Sans CJK SC"/>
        <family val="2"/>
      </rPr>
      <t xml:space="preserve">신선도</t>
    </r>
    <r>
      <rPr>
        <sz val="10"/>
        <color rgb="FF222222"/>
        <rFont val="Arial"/>
        <family val="0"/>
        <charset val="1"/>
      </rPr>
      <t xml:space="preserve">·SEO. </t>
    </r>
    <r>
      <rPr>
        <sz val="10"/>
        <color rgb="FF222222"/>
        <rFont val="Noto Sans CJK SC"/>
        <family val="2"/>
      </rPr>
      <t xml:space="preserve">카탈로그 오퇴르 심화</t>
    </r>
  </si>
  <si>
    <r>
      <rPr>
        <sz val="10"/>
        <color rgb="FF222222"/>
        <rFont val="Noto Sans CJK SC"/>
        <family val="2"/>
      </rPr>
      <t xml:space="preserve">대중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장르 깊이</t>
    </r>
  </si>
  <si>
    <r>
      <rPr>
        <sz val="10"/>
        <color rgb="FF222222"/>
        <rFont val="Arial"/>
        <family val="0"/>
        <charset val="1"/>
      </rPr>
      <t xml:space="preserve">109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(27%) — </t>
    </r>
    <r>
      <rPr>
        <sz val="10"/>
        <color rgb="FF222222"/>
        <rFont val="Noto Sans CJK SC"/>
        <family val="2"/>
      </rPr>
      <t xml:space="preserve">호러 정전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프랜차이즈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애니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다큐</t>
    </r>
    <r>
      <rPr>
        <sz val="10"/>
        <color rgb="FF222222"/>
        <rFont val="Arial"/>
        <family val="0"/>
        <charset val="1"/>
      </rPr>
      <t xml:space="preserve">. </t>
    </r>
    <r>
      <rPr>
        <sz val="10"/>
        <color rgb="FF222222"/>
        <rFont val="Noto Sans CJK SC"/>
        <family val="2"/>
      </rPr>
      <t xml:space="preserve">검색 트래픽 </t>
    </r>
    <r>
      <rPr>
        <sz val="10"/>
        <color rgb="FF222222"/>
        <rFont val="Arial"/>
        <family val="0"/>
        <charset val="1"/>
      </rPr>
      <t xml:space="preserve">+ </t>
    </r>
    <r>
      <rPr>
        <sz val="10"/>
        <color rgb="FF222222"/>
        <rFont val="Noto Sans CJK SC"/>
        <family val="2"/>
      </rPr>
      <t xml:space="preserve">입증된 읽기 산출</t>
    </r>
  </si>
  <si>
    <r>
      <rPr>
        <b val="true"/>
        <sz val="11"/>
        <color rgb="FFFFFFFF"/>
        <rFont val="Arial"/>
        <family val="0"/>
        <charset val="1"/>
      </rPr>
      <t xml:space="preserve">3 </t>
    </r>
    <r>
      <rPr>
        <b val="true"/>
        <sz val="11"/>
        <color rgb="FFFFFFFF"/>
        <rFont val="Noto Sans CJK SC"/>
        <family val="2"/>
      </rPr>
      <t xml:space="preserve">웨이브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각 </t>
    </r>
    <r>
      <rPr>
        <b val="true"/>
        <sz val="11"/>
        <color rgb="FFFFFFFF"/>
        <rFont val="Arial"/>
        <family val="0"/>
        <charset val="1"/>
      </rPr>
      <t xml:space="preserve">~135</t>
    </r>
    <r>
      <rPr>
        <b val="true"/>
        <sz val="11"/>
        <color rgb="FFFFFFFF"/>
        <rFont val="Noto Sans CJK SC"/>
        <family val="2"/>
      </rPr>
      <t xml:space="preserve">편</t>
    </r>
    <r>
      <rPr>
        <b val="true"/>
        <sz val="11"/>
        <color rgb="FFFFFFFF"/>
        <rFont val="Arial"/>
        <family val="0"/>
        <charset val="1"/>
      </rPr>
      <t xml:space="preserve">, </t>
    </r>
    <r>
      <rPr>
        <b val="true"/>
        <sz val="11"/>
        <color rgb="FFFFFFFF"/>
        <rFont val="Noto Sans CJK SC"/>
        <family val="2"/>
      </rPr>
      <t xml:space="preserve">내부 균형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</si>
  <si>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Wave 1</t>
  </si>
  <si>
    <r>
      <rPr>
        <sz val="10"/>
        <color rgb="FF222222"/>
        <rFont val="Noto Sans CJK SC"/>
        <family val="2"/>
      </rPr>
      <t xml:space="preserve">가장 유명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연결성 높은 마키 타이틀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즉시 트래픽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그래프 응집</t>
    </r>
    <r>
      <rPr>
        <sz val="10"/>
        <color rgb="FF222222"/>
        <rFont val="Arial"/>
        <family val="0"/>
        <charset val="1"/>
      </rPr>
      <t xml:space="preserve">)</t>
    </r>
  </si>
  <si>
    <t xml:space="preserve">Wave 2 / 3</t>
  </si>
  <si>
    <r>
      <rPr>
        <sz val="10"/>
        <color rgb="FF222222"/>
        <rFont val="Noto Sans CJK SC"/>
        <family val="2"/>
      </rPr>
      <t xml:space="preserve">점진 심화 — 깊은 정전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지역 뉴웨이브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롱테일</t>
    </r>
  </si>
  <si>
    <r>
      <rPr>
        <sz val="10"/>
        <color rgb="FF222222"/>
        <rFont val="Noto Sans CJK SC"/>
        <family val="2"/>
      </rPr>
      <t xml:space="preserve">각 웨이브 전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런북 </t>
    </r>
    <r>
      <rPr>
        <sz val="10"/>
        <color rgb="FF222222"/>
        <rFont val="Arial"/>
        <family val="0"/>
        <charset val="1"/>
      </rPr>
      <t xml:space="preserve">§4)</t>
    </r>
  </si>
  <si>
    <r>
      <rPr>
        <sz val="10"/>
        <color rgb="FF222222"/>
        <rFont val="Arial"/>
        <family val="0"/>
        <charset val="1"/>
      </rPr>
      <t xml:space="preserve">figure-enrich DRY </t>
    </r>
    <r>
      <rPr>
        <sz val="10"/>
        <color rgb="FF222222"/>
        <rFont val="Noto Sans CJK SC"/>
        <family val="2"/>
      </rPr>
      <t xml:space="preserve">검수 → 스테이징 </t>
    </r>
    <r>
      <rPr>
        <sz val="10"/>
        <color rgb="FF222222"/>
        <rFont val="Arial"/>
        <family val="0"/>
        <charset val="1"/>
      </rPr>
      <t xml:space="preserve">5–10</t>
    </r>
    <r>
      <rPr>
        <sz val="10"/>
        <color rgb="FF222222"/>
        <rFont val="Noto Sans CJK SC"/>
        <family val="2"/>
      </rPr>
      <t xml:space="preserve">편 → 전체 </t>
    </r>
    <r>
      <rPr>
        <sz val="10"/>
        <color rgb="FF222222"/>
        <rFont val="Arial"/>
        <family val="0"/>
        <charset val="1"/>
      </rPr>
      <t xml:space="preserve">import. DB </t>
    </r>
    <r>
      <rPr>
        <sz val="10"/>
        <color rgb="FF222222"/>
        <rFont val="Noto Sans CJK SC"/>
        <family val="2"/>
      </rPr>
      <t xml:space="preserve">백업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롤백 쿼리 준비</t>
    </r>
  </si>
  <si>
    <t xml:space="preserve">운영 순서</t>
  </si>
  <si>
    <r>
      <rPr>
        <sz val="10"/>
        <color rgb="FF222222"/>
        <rFont val="Arial"/>
        <family val="0"/>
        <charset val="1"/>
      </rPr>
      <t xml:space="preserve">1) </t>
    </r>
    <r>
      <rPr>
        <sz val="10"/>
        <color rgb="FF222222"/>
        <rFont val="Noto Sans CJK SC"/>
        <family val="2"/>
      </rPr>
      <t xml:space="preserve">위생</t>
    </r>
  </si>
  <si>
    <r>
      <rPr>
        <sz val="10"/>
        <color rgb="FF222222"/>
        <rFont val="Noto Sans CJK SC"/>
        <family val="2"/>
      </rPr>
      <t xml:space="preserve">중복 </t>
    </r>
    <r>
      <rPr>
        <sz val="10"/>
        <color rgb="FF222222"/>
        <rFont val="Arial"/>
        <family val="0"/>
        <charset val="1"/>
      </rPr>
      <t xml:space="preserve">8 + </t>
    </r>
    <r>
      <rPr>
        <sz val="10"/>
        <color rgb="FF222222"/>
        <rFont val="Noto Sans CJK SC"/>
        <family val="2"/>
      </rPr>
      <t xml:space="preserve">노이즈 </t>
    </r>
    <r>
      <rPr>
        <sz val="10"/>
        <color rgb="FF222222"/>
        <rFont val="Arial"/>
        <family val="0"/>
        <charset val="1"/>
      </rPr>
      <t xml:space="preserve">~10 </t>
    </r>
    <r>
      <rPr>
        <sz val="10"/>
        <color rgb="FF222222"/>
        <rFont val="Noto Sans CJK SC"/>
        <family val="2"/>
      </rPr>
      <t xml:space="preserve">제거 → </t>
    </r>
    <r>
      <rPr>
        <sz val="10"/>
        <color rgb="FF222222"/>
        <rFont val="Arial"/>
        <family val="0"/>
        <charset val="1"/>
      </rPr>
      <t xml:space="preserve">run-tmdb-fetch-all (genres/overview </t>
    </r>
    <r>
      <rPr>
        <sz val="10"/>
        <color rgb="FF222222"/>
        <rFont val="Noto Sans CJK SC"/>
        <family val="2"/>
      </rPr>
      <t xml:space="preserve">백필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</si>
  <si>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Arial"/>
        <family val="0"/>
        <charset val="1"/>
      </rPr>
      <t xml:space="preserve">2) </t>
    </r>
    <r>
      <rPr>
        <sz val="10"/>
        <color rgb="FF222222"/>
        <rFont val="Noto Sans CJK SC"/>
        <family val="2"/>
      </rPr>
      <t xml:space="preserve">웨이브 파이프라인</t>
    </r>
  </si>
  <si>
    <t xml:space="preserve">import → figure-enrich → consolidate → author → rank → recommend</t>
  </si>
  <si>
    <r>
      <rPr>
        <sz val="10"/>
        <color rgb="FF222222"/>
        <rFont val="Arial"/>
        <family val="0"/>
        <charset val="1"/>
      </rPr>
      <t xml:space="preserve">3) </t>
    </r>
    <r>
      <rPr>
        <sz val="10"/>
        <color rgb="FF222222"/>
        <rFont val="Noto Sans CJK SC"/>
        <family val="2"/>
      </rPr>
      <t xml:space="preserve">색인 게이트</t>
    </r>
  </si>
  <si>
    <r>
      <rPr>
        <sz val="10"/>
        <color rgb="FF222222"/>
        <rFont val="Arial"/>
        <family val="0"/>
        <charset val="1"/>
      </rPr>
      <t xml:space="preserve">take ≥3 → index · &lt;3 → noindex(thin-content </t>
    </r>
    <r>
      <rPr>
        <sz val="10"/>
        <color rgb="FF222222"/>
        <rFont val="Noto Sans CJK SC"/>
        <family val="2"/>
      </rPr>
      <t xml:space="preserve">회피</t>
    </r>
    <r>
      <rPr>
        <sz val="10"/>
        <color rgb="FF222222"/>
        <rFont val="Arial"/>
        <family val="0"/>
        <charset val="1"/>
      </rPr>
      <t xml:space="preserve">)</t>
    </r>
  </si>
  <si>
    <t xml:space="preserve">Wave</t>
  </si>
  <si>
    <t xml:space="preserve">바구니</t>
  </si>
  <si>
    <r>
      <rPr>
        <b val="true"/>
        <sz val="10"/>
        <color rgb="FFFFFFFF"/>
        <rFont val="Noto Sans CJK SC"/>
        <family val="2"/>
      </rPr>
      <t xml:space="preserve">제목 </t>
    </r>
    <r>
      <rPr>
        <b val="true"/>
        <sz val="10"/>
        <color rgb="FFFFFFFF"/>
        <rFont val="Arial"/>
        <family val="0"/>
        <charset val="1"/>
      </rPr>
      <t xml:space="preserve">(Title)</t>
    </r>
  </si>
  <si>
    <r>
      <rPr>
        <b val="true"/>
        <sz val="10"/>
        <color rgb="FFFFFFFF"/>
        <rFont val="Noto Sans CJK SC"/>
        <family val="2"/>
      </rPr>
      <t xml:space="preserve">감독 </t>
    </r>
    <r>
      <rPr>
        <b val="true"/>
        <sz val="10"/>
        <color rgb="FFFFFFFF"/>
        <rFont val="Arial"/>
        <family val="0"/>
        <charset val="1"/>
      </rPr>
      <t xml:space="preserve">(Director)</t>
    </r>
  </si>
  <si>
    <t xml:space="preserve">연도</t>
  </si>
  <si>
    <t xml:space="preserve">국가</t>
  </si>
  <si>
    <r>
      <rPr>
        <b val="true"/>
        <sz val="10"/>
        <color rgb="FFFFFFFF"/>
        <rFont val="Noto Sans CJK SC"/>
        <family val="2"/>
      </rPr>
      <t xml:space="preserve">선정 근거 </t>
    </r>
    <r>
      <rPr>
        <b val="true"/>
        <sz val="10"/>
        <color rgb="FFFFFFFF"/>
        <rFont val="Arial"/>
        <family val="0"/>
        <charset val="1"/>
      </rPr>
      <t xml:space="preserve">(Why)</t>
    </r>
  </si>
  <si>
    <r>
      <rPr>
        <sz val="10"/>
        <color rgb="FF222222"/>
        <rFont val="Noto Sans CJK SC"/>
        <family val="2"/>
      </rPr>
      <t xml:space="preserve">정전 </t>
    </r>
    <r>
      <rPr>
        <sz val="10"/>
        <color rgb="FF222222"/>
        <rFont val="Arial"/>
        <family val="0"/>
        <charset val="1"/>
      </rPr>
      <t xml:space="preserve">backfill</t>
    </r>
  </si>
  <si>
    <t xml:space="preserve">12 Angry Men</t>
  </si>
  <si>
    <t xml:space="preserve">Sidney Lumet</t>
  </si>
  <si>
    <t xml:space="preserve">1957</t>
  </si>
  <si>
    <t xml:space="preserve">USA</t>
  </si>
  <si>
    <t xml:space="preserve">High search; group/justice</t>
  </si>
  <si>
    <t xml:space="preserve">2001: A Space Odyssey</t>
  </si>
  <si>
    <t xml:space="preserve">Stanley Kubrick</t>
  </si>
  <si>
    <t xml:space="preserve">1968</t>
  </si>
  <si>
    <t xml:space="preserve">USA/UK</t>
  </si>
  <si>
    <t xml:space="preserve">S&amp;S top-10 all-time; deepest sci-fi crit lit</t>
  </si>
  <si>
    <t xml:space="preserve">8 1/2</t>
  </si>
  <si>
    <t xml:space="preserve">Federico Fellini</t>
  </si>
  <si>
    <t xml:space="preserve">1963</t>
  </si>
  <si>
    <t xml:space="preserve">Italy</t>
  </si>
  <si>
    <t xml:space="preserve">Self-reflexive cinema canon</t>
  </si>
  <si>
    <t xml:space="preserve">A Clockwork Orange</t>
  </si>
  <si>
    <t xml:space="preserve">1971</t>
  </si>
  <si>
    <t xml:space="preserve">UK</t>
  </si>
  <si>
    <t xml:space="preserve">Violence/ideology; high search</t>
  </si>
  <si>
    <t xml:space="preserve">Andrei Rublev</t>
  </si>
  <si>
    <t xml:space="preserve">Andrei Tarkovsky</t>
  </si>
  <si>
    <t xml:space="preserve">1966</t>
  </si>
  <si>
    <t xml:space="preserve">USSR</t>
  </si>
  <si>
    <t xml:space="preserve">Tarkovsky canon; art/faith</t>
  </si>
  <si>
    <t xml:space="preserve">Apocalypse Now</t>
  </si>
  <si>
    <t xml:space="preserve">Francis Ford Coppola</t>
  </si>
  <si>
    <t xml:space="preserve">1979</t>
  </si>
  <si>
    <t xml:space="preserve">War myth; high search + crit lit</t>
  </si>
  <si>
    <t xml:space="preserve">Au Hasard Balthazar</t>
  </si>
  <si>
    <t xml:space="preserve">Robert Bresson</t>
  </si>
  <si>
    <t xml:space="preserve">France</t>
  </si>
  <si>
    <t xml:space="preserve">Bresson transcendental style</t>
  </si>
  <si>
    <t xml:space="preserve">Barry Lyndon</t>
  </si>
  <si>
    <t xml:space="preserve">1975</t>
  </si>
  <si>
    <t xml:space="preserve">Form/painterly image crit lit</t>
  </si>
  <si>
    <t xml:space="preserve">Battleship Potemkin</t>
  </si>
  <si>
    <t xml:space="preserve">Sergei Eisenstein</t>
  </si>
  <si>
    <t xml:space="preserve">1925</t>
  </si>
  <si>
    <t xml:space="preserve">Montage theory source text</t>
  </si>
  <si>
    <t xml:space="preserve">Bicycle Thieves</t>
  </si>
  <si>
    <t xml:space="preserve">Vittorio De Sica</t>
  </si>
  <si>
    <t xml:space="preserve">1948</t>
  </si>
  <si>
    <t xml:space="preserve">Italian neorealism keystone</t>
  </si>
  <si>
    <t xml:space="preserve">Breathless</t>
  </si>
  <si>
    <t xml:space="preserve">Jean-Luc Godard</t>
  </si>
  <si>
    <t xml:space="preserve">1960</t>
  </si>
  <si>
    <t xml:space="preserve">Jump-cut modernism; theory staple</t>
  </si>
  <si>
    <t xml:space="preserve">Casablanca</t>
  </si>
  <si>
    <t xml:space="preserve">Michael Curtiz</t>
  </si>
  <si>
    <t xml:space="preserve">1942</t>
  </si>
  <si>
    <t xml:space="preserve">Most-cited classic; high search</t>
  </si>
  <si>
    <t xml:space="preserve">Chinatown</t>
  </si>
  <si>
    <t xml:space="preserve">Roman Polanski</t>
  </si>
  <si>
    <t xml:space="preserve">1974</t>
  </si>
  <si>
    <t xml:space="preserve">Neo-noir canon, ideology readings</t>
  </si>
  <si>
    <t xml:space="preserve">Citizen Kane</t>
  </si>
  <si>
    <t xml:space="preserve">Orson Welles</t>
  </si>
  <si>
    <t xml:space="preserve">1941</t>
  </si>
  <si>
    <t xml:space="preserve">Canon cornerstone; deep-focus form, Bazin</t>
  </si>
  <si>
    <t xml:space="preserve">City Lights</t>
  </si>
  <si>
    <t xml:space="preserve">Charlie Chaplin</t>
  </si>
  <si>
    <t xml:space="preserve">1931</t>
  </si>
  <si>
    <t xml:space="preserve">Chaplin canon; sentiment/modernity</t>
  </si>
  <si>
    <t xml:space="preserve">Double Indemnity</t>
  </si>
  <si>
    <t xml:space="preserve">Billy Wilder</t>
  </si>
  <si>
    <t xml:space="preserve">1944</t>
  </si>
  <si>
    <t xml:space="preserve">Film-noir template</t>
  </si>
  <si>
    <t xml:space="preserve">Dr. Strangelove</t>
  </si>
  <si>
    <t xml:space="preserve">1964</t>
  </si>
  <si>
    <t xml:space="preserve">Cold-war satire canon</t>
  </si>
  <si>
    <t xml:space="preserve">Ikiru</t>
  </si>
  <si>
    <t xml:space="preserve">Akira Kurosawa</t>
  </si>
  <si>
    <t xml:space="preserve">1952</t>
  </si>
  <si>
    <t xml:space="preserve">Japan</t>
  </si>
  <si>
    <t xml:space="preserve">Existential canon</t>
  </si>
  <si>
    <t xml:space="preserve">L'Avventura</t>
  </si>
  <si>
    <t xml:space="preserve">Michelangelo Antonioni</t>
  </si>
  <si>
    <t xml:space="preserve">Antonioni alienation canon</t>
  </si>
  <si>
    <t xml:space="preserve">La Dolce Vita</t>
  </si>
  <si>
    <t xml:space="preserve">Modernity/spectacle</t>
  </si>
  <si>
    <t xml:space="preserve">Lawrence of Arabia</t>
  </si>
  <si>
    <t xml:space="preserve">David Lean</t>
  </si>
  <si>
    <t xml:space="preserve">1962</t>
  </si>
  <si>
    <t xml:space="preserve">Epic/Orientalism crit lit</t>
  </si>
  <si>
    <t xml:space="preserve">M</t>
  </si>
  <si>
    <t xml:space="preserve">Fritz Lang</t>
  </si>
  <si>
    <t xml:space="preserve">Germany</t>
  </si>
  <si>
    <t xml:space="preserve">Crowd/justice; early-sound crit lit</t>
  </si>
  <si>
    <t xml:space="preserve">Metropolis</t>
  </si>
  <si>
    <t xml:space="preserve">1927</t>
  </si>
  <si>
    <t xml:space="preserve">SF/labor allegory; silent canon</t>
  </si>
  <si>
    <t xml:space="preserve">Mirror</t>
  </si>
  <si>
    <t xml:space="preserve">Memory/form canon</t>
  </si>
  <si>
    <t xml:space="preserve">Modern Times</t>
  </si>
  <si>
    <t xml:space="preserve">1936</t>
  </si>
  <si>
    <t xml:space="preserve">Machine/labor; high search</t>
  </si>
  <si>
    <t xml:space="preserve">North by Northwest</t>
  </si>
  <si>
    <t xml:space="preserve">Alfred Hitchcock</t>
  </si>
  <si>
    <t xml:space="preserve">1959</t>
  </si>
  <si>
    <t xml:space="preserve">Hitchcock set-piece canon</t>
  </si>
  <si>
    <t xml:space="preserve">Nosferatu</t>
  </si>
  <si>
    <t xml:space="preserve">F.W. Murnau</t>
  </si>
  <si>
    <t xml:space="preserve">1922</t>
  </si>
  <si>
    <t xml:space="preserve">Vampire iconography origin</t>
  </si>
  <si>
    <t xml:space="preserve">Pather Panchali</t>
  </si>
  <si>
    <t xml:space="preserve">Satyajit Ray</t>
  </si>
  <si>
    <t xml:space="preserve">1955</t>
  </si>
  <si>
    <t xml:space="preserve">India</t>
  </si>
  <si>
    <t xml:space="preserve">Indian canon backbone (huge gap)</t>
  </si>
  <si>
    <t xml:space="preserve">Persona</t>
  </si>
  <si>
    <t xml:space="preserve">Ingmar Bergman</t>
  </si>
  <si>
    <t xml:space="preserve">Sweden</t>
  </si>
  <si>
    <t xml:space="preserve">Identity/doubling; heavily theorized</t>
  </si>
  <si>
    <t xml:space="preserve">Pickpocket</t>
  </si>
  <si>
    <t xml:space="preserve">Bresson canon; grace/hands</t>
  </si>
  <si>
    <t xml:space="preserve">Psycho</t>
  </si>
  <si>
    <t xml:space="preserve">Founding slasher; psychoanalytic crit</t>
  </si>
  <si>
    <t xml:space="preserve">Rashomon</t>
  </si>
  <si>
    <t xml:space="preserve">1950</t>
  </si>
  <si>
    <t xml:space="preserve">'Rashomon effect'; epistemology</t>
  </si>
  <si>
    <t xml:space="preserve">Rear Window</t>
  </si>
  <si>
    <t xml:space="preserve">1954</t>
  </si>
  <si>
    <t xml:space="preserve">Voyeurism/gaze theory</t>
  </si>
  <si>
    <t xml:space="preserve">Seven Samurai</t>
  </si>
  <si>
    <t xml:space="preserve">Most-written-about action canon</t>
  </si>
  <si>
    <t xml:space="preserve">Singin' in the Rain</t>
  </si>
  <si>
    <t xml:space="preserve">Stanley Donen</t>
  </si>
  <si>
    <t xml:space="preserve">Musical canon; high search</t>
  </si>
  <si>
    <t xml:space="preserve">Solaris</t>
  </si>
  <si>
    <t xml:space="preserve">1972</t>
  </si>
  <si>
    <t xml:space="preserve">SF philosophy canon</t>
  </si>
  <si>
    <t xml:space="preserve">Some Like It Hot</t>
  </si>
  <si>
    <t xml:space="preserve">Gender/comedy; Butler-adjacent</t>
  </si>
  <si>
    <t xml:space="preserve">Stalker</t>
  </si>
  <si>
    <t xml:space="preserve">Zone allegory; huge crit lit</t>
  </si>
  <si>
    <t xml:space="preserve">Sunrise</t>
  </si>
  <si>
    <t xml:space="preserve">Silent-form canon</t>
  </si>
  <si>
    <t xml:space="preserve">Sunset Boulevard</t>
  </si>
  <si>
    <t xml:space="preserve">Hollywood-on-Hollywood canon</t>
  </si>
  <si>
    <t xml:space="preserve">Taxi Driver</t>
  </si>
  <si>
    <t xml:space="preserve">Martin Scorsese</t>
  </si>
  <si>
    <t xml:space="preserve">1976</t>
  </si>
  <si>
    <t xml:space="preserve">Scorsese already a hub; extends graph</t>
  </si>
  <si>
    <t xml:space="preserve">The 400 Blows</t>
  </si>
  <si>
    <t xml:space="preserve">Francois Truffaut</t>
  </si>
  <si>
    <t xml:space="preserve">French New Wave anchor</t>
  </si>
  <si>
    <t xml:space="preserve">The Battle of Algiers</t>
  </si>
  <si>
    <t xml:space="preserve">Gillo Pontecorvo</t>
  </si>
  <si>
    <t xml:space="preserve">Italy/Algeria</t>
  </si>
  <si>
    <t xml:space="preserve">Anti-colonial; political-film canon</t>
  </si>
  <si>
    <t xml:space="preserve">The Cabinet of Dr. Caligari</t>
  </si>
  <si>
    <t xml:space="preserve">Robert Wiene</t>
  </si>
  <si>
    <t xml:space="preserve">1920</t>
  </si>
  <si>
    <t xml:space="preserve">Expressionism origin</t>
  </si>
  <si>
    <t xml:space="preserve">The Conformist</t>
  </si>
  <si>
    <t xml:space="preserve">Bernardo Bertolucci</t>
  </si>
  <si>
    <t xml:space="preserve">1970</t>
  </si>
  <si>
    <t xml:space="preserve">Fascism/psychoanalysis; form</t>
  </si>
  <si>
    <t xml:space="preserve">The Passion of Joan of Arc</t>
  </si>
  <si>
    <t xml:space="preserve">Carl Theodor Dreyer</t>
  </si>
  <si>
    <t xml:space="preserve">1928</t>
  </si>
  <si>
    <t xml:space="preserve">Face/close-up canon</t>
  </si>
  <si>
    <t xml:space="preserve">The Rules of the Game</t>
  </si>
  <si>
    <t xml:space="preserve">Jean Renoir</t>
  </si>
  <si>
    <t xml:space="preserve">1939</t>
  </si>
  <si>
    <t xml:space="preserve">S&amp;S top-10; class allegory</t>
  </si>
  <si>
    <t xml:space="preserve">The Searchers</t>
  </si>
  <si>
    <t xml:space="preserve">John Ford</t>
  </si>
  <si>
    <t xml:space="preserve">1956</t>
  </si>
  <si>
    <t xml:space="preserve">Western/race ideology canon</t>
  </si>
  <si>
    <t xml:space="preserve">The Seventh Seal</t>
  </si>
  <si>
    <t xml:space="preserve">Allegory/death iconography</t>
  </si>
  <si>
    <t xml:space="preserve">The Third Man</t>
  </si>
  <si>
    <t xml:space="preserve">Carol Reed</t>
  </si>
  <si>
    <t xml:space="preserve">1949</t>
  </si>
  <si>
    <t xml:space="preserve">Noir/Vienna; canon</t>
  </si>
  <si>
    <t xml:space="preserve">Tokyo Drifter</t>
  </si>
  <si>
    <t xml:space="preserve">Seijun Suzuki</t>
  </si>
  <si>
    <t xml:space="preserve">Pop-art yakuza; form crit</t>
  </si>
  <si>
    <t xml:space="preserve">Tokyo Story</t>
  </si>
  <si>
    <t xml:space="preserve">Yasujiro Ozu</t>
  </si>
  <si>
    <t xml:space="preserve">1953</t>
  </si>
  <si>
    <t xml:space="preserve">S&amp;S top-5; quietness/space crit lit</t>
  </si>
  <si>
    <t xml:space="preserve">Touch of Evil</t>
  </si>
  <si>
    <t xml:space="preserve">1958</t>
  </si>
  <si>
    <t xml:space="preserve">Noir long-take canon</t>
  </si>
  <si>
    <t xml:space="preserve">Vertigo</t>
  </si>
  <si>
    <t xml:space="preserve">Mulvey gaze theory built on it; S&amp;S #1 2012</t>
  </si>
  <si>
    <t xml:space="preserve">Woman in the Dunes</t>
  </si>
  <si>
    <t xml:space="preserve">Hiroshi Teshigahara</t>
  </si>
  <si>
    <t xml:space="preserve">Existential allegory canon</t>
  </si>
  <si>
    <t xml:space="preserve">All We Imagine as Light</t>
  </si>
  <si>
    <t xml:space="preserve">Payal Kapadia</t>
  </si>
  <si>
    <t xml:space="preserve">2024</t>
  </si>
  <si>
    <t xml:space="preserve">Cannes 2024 Grand Prix; Indian gap</t>
  </si>
  <si>
    <t xml:space="preserve">All of Us Strangers</t>
  </si>
  <si>
    <t xml:space="preserve">Andrew Haigh</t>
  </si>
  <si>
    <t xml:space="preserve">2023</t>
  </si>
  <si>
    <t xml:space="preserve">Queer grief; ghost form</t>
  </si>
  <si>
    <t xml:space="preserve">Asteroid City</t>
  </si>
  <si>
    <t xml:space="preserve">Wes Anderson</t>
  </si>
  <si>
    <t xml:space="preserve">Anderson is a hub; nested form</t>
  </si>
  <si>
    <t xml:space="preserve">Bardo</t>
  </si>
  <si>
    <t xml:space="preserve">Alejandro Gonzalez Inarritu</t>
  </si>
  <si>
    <t xml:space="preserve">2022</t>
  </si>
  <si>
    <t xml:space="preserve">Mexico</t>
  </si>
  <si>
    <t xml:space="preserve">Inarritu is a hub; memory</t>
  </si>
  <si>
    <t xml:space="preserve">Beau Is Afraid</t>
  </si>
  <si>
    <t xml:space="preserve">Ari Aster</t>
  </si>
  <si>
    <t xml:space="preserve">Aster is a hub; anxiety/odyssey</t>
  </si>
  <si>
    <t xml:space="preserve">Broker</t>
  </si>
  <si>
    <t xml:space="preserve">Hirokazu Kore-eda</t>
  </si>
  <si>
    <t xml:space="preserve">South Korea</t>
  </si>
  <si>
    <t xml:space="preserve">Kore-eda + Korean cast; family</t>
  </si>
  <si>
    <t xml:space="preserve">Close</t>
  </si>
  <si>
    <t xml:space="preserve">Lukas Dhont</t>
  </si>
  <si>
    <t xml:space="preserve">Belgium</t>
  </si>
  <si>
    <t xml:space="preserve">Boyhood/masculinity; Cannes</t>
  </si>
  <si>
    <t xml:space="preserve">Conclave</t>
  </si>
  <si>
    <t xml:space="preserve">Edward Berger</t>
  </si>
  <si>
    <t xml:space="preserve">UK/USA</t>
  </si>
  <si>
    <t xml:space="preserve">2024 awards; institution/ritual</t>
  </si>
  <si>
    <t xml:space="preserve">Decision to Leave</t>
  </si>
  <si>
    <t xml:space="preserve">Park Chan-wook</t>
  </si>
  <si>
    <t xml:space="preserve">Park is a hub; gaze/noir</t>
  </si>
  <si>
    <t xml:space="preserve">EO</t>
  </si>
  <si>
    <t xml:space="preserve">Jerzy Skolimowski</t>
  </si>
  <si>
    <t xml:space="preserve">Poland</t>
  </si>
  <si>
    <t xml:space="preserve">Animal-POV; Bresson lineage</t>
  </si>
  <si>
    <t xml:space="preserve">El Conde</t>
  </si>
  <si>
    <t xml:space="preserve">Pablo Larrain</t>
  </si>
  <si>
    <t xml:space="preserve">Chile</t>
  </si>
  <si>
    <t xml:space="preserve">Pinochet-as-vampire; allegory</t>
  </si>
  <si>
    <t xml:space="preserve">Evil Does Not Exist</t>
  </si>
  <si>
    <t xml:space="preserve">Ryusuke Hamaguchi</t>
  </si>
  <si>
    <t xml:space="preserve">Hamaguchi is a hub; nature/ethics</t>
  </si>
  <si>
    <t xml:space="preserve">Fallen Leaves</t>
  </si>
  <si>
    <t xml:space="preserve">Aki Kaurismaki</t>
  </si>
  <si>
    <t xml:space="preserve">Finland</t>
  </si>
  <si>
    <t xml:space="preserve">Kaurismaki is in; deadpan</t>
  </si>
  <si>
    <t xml:space="preserve">First Cow</t>
  </si>
  <si>
    <t xml:space="preserve">Kelly Reichardt</t>
  </si>
  <si>
    <t xml:space="preserve">2019</t>
  </si>
  <si>
    <t xml:space="preserve">Reichardt slow-cinema; friendship/capital</t>
  </si>
  <si>
    <t xml:space="preserve">Flow</t>
  </si>
  <si>
    <t xml:space="preserve">Gints Zilbalodis</t>
  </si>
  <si>
    <t xml:space="preserve">Latvia</t>
  </si>
  <si>
    <t xml:space="preserve">Oscar Animation 2025; dialogue-free</t>
  </si>
  <si>
    <t xml:space="preserve">I'm Still Here</t>
  </si>
  <si>
    <t xml:space="preserve">Walter Salles</t>
  </si>
  <si>
    <t xml:space="preserve">Brazil</t>
  </si>
  <si>
    <t xml:space="preserve">Oscar Intl Feature 2025; Salles is in</t>
  </si>
  <si>
    <t xml:space="preserve">I'm Thinking of Ending Things</t>
  </si>
  <si>
    <t xml:space="preserve">Charlie Kaufman</t>
  </si>
  <si>
    <t xml:space="preserve">2020</t>
  </si>
  <si>
    <t xml:space="preserve">Kaufman; identity/dread</t>
  </si>
  <si>
    <t xml:space="preserve">It Was Just an Accident</t>
  </si>
  <si>
    <t xml:space="preserve">Jafar Panahi</t>
  </si>
  <si>
    <t xml:space="preserve">2025</t>
  </si>
  <si>
    <t xml:space="preserve">Iran</t>
  </si>
  <si>
    <t xml:space="preserve">Cannes 2025 Palme d'Or</t>
  </si>
  <si>
    <t xml:space="preserve">Maestro</t>
  </si>
  <si>
    <t xml:space="preserve">Bradley Cooper</t>
  </si>
  <si>
    <t xml:space="preserve">Biopic/performance; Netflix</t>
  </si>
  <si>
    <t xml:space="preserve">Mank</t>
  </si>
  <si>
    <t xml:space="preserve">David Fincher</t>
  </si>
  <si>
    <t xml:space="preserve">Fincher is a hub; Hollywood/Welles</t>
  </si>
  <si>
    <t xml:space="preserve">May December</t>
  </si>
  <si>
    <t xml:space="preserve">Todd Haynes</t>
  </si>
  <si>
    <t xml:space="preserve">Haynes is in; melodrama/gaze</t>
  </si>
  <si>
    <t xml:space="preserve">Memoria</t>
  </si>
  <si>
    <t xml:space="preserve">Apichatpong Weerasethakul</t>
  </si>
  <si>
    <t xml:space="preserve">2021</t>
  </si>
  <si>
    <t xml:space="preserve">Thailand/Colombia</t>
  </si>
  <si>
    <t xml:space="preserve">Apichatpong is in; sound/Chion</t>
  </si>
  <si>
    <t xml:space="preserve">Minari</t>
  </si>
  <si>
    <t xml:space="preserve">Lee Isaac Chung</t>
  </si>
  <si>
    <t xml:space="preserve">Immigrant family; Korean-American</t>
  </si>
  <si>
    <t xml:space="preserve">Monster</t>
  </si>
  <si>
    <t xml:space="preserve">Kore-eda is a hub; perspective</t>
  </si>
  <si>
    <t xml:space="preserve">Moonrise Kingdom</t>
  </si>
  <si>
    <t xml:space="preserve">2012</t>
  </si>
  <si>
    <t xml:space="preserve">Anderson is a hub; childhood</t>
  </si>
  <si>
    <t xml:space="preserve">Nickel Boys</t>
  </si>
  <si>
    <t xml:space="preserve">RaMell Ross</t>
  </si>
  <si>
    <t xml:space="preserve">POV form; race; 2024 crit darling</t>
  </si>
  <si>
    <t xml:space="preserve">Okja</t>
  </si>
  <si>
    <t xml:space="preserve">Bong Joon Ho</t>
  </si>
  <si>
    <t xml:space="preserve">2017</t>
  </si>
  <si>
    <t xml:space="preserve">Bong is a hub; capital/animal</t>
  </si>
  <si>
    <t xml:space="preserve">One Battle After Another</t>
  </si>
  <si>
    <t xml:space="preserve">Paul Thomas Anderson</t>
  </si>
  <si>
    <t xml:space="preserve">Oscar Best Picture 2026; PTA is a hub</t>
  </si>
  <si>
    <t xml:space="preserve">Petite Maman</t>
  </si>
  <si>
    <t xml:space="preserve">Celine Sciamma</t>
  </si>
  <si>
    <t xml:space="preserve">Sciamma is in; childhood/time</t>
  </si>
  <si>
    <t xml:space="preserve">Return to Seoul</t>
  </si>
  <si>
    <t xml:space="preserve">Davy Chou</t>
  </si>
  <si>
    <t xml:space="preserve">Cambodia/France</t>
  </si>
  <si>
    <t xml:space="preserve">Adoption/identity; Korean gap</t>
  </si>
  <si>
    <t xml:space="preserve">Saint Omer</t>
  </si>
  <si>
    <t xml:space="preserve">Alice Diop</t>
  </si>
  <si>
    <t xml:space="preserve">Trial/motherhood; Venice</t>
  </si>
  <si>
    <t xml:space="preserve">Sentimental Value</t>
  </si>
  <si>
    <t xml:space="preserve">Joachim Trier</t>
  </si>
  <si>
    <t xml:space="preserve">Norway</t>
  </si>
  <si>
    <t xml:space="preserve">Cannes 2025 Grand Prix; Trier is in</t>
  </si>
  <si>
    <t xml:space="preserve">Showing Up</t>
  </si>
  <si>
    <t xml:space="preserve">Art-labor; Reichardt</t>
  </si>
  <si>
    <t xml:space="preserve">Sinners</t>
  </si>
  <si>
    <t xml:space="preserve">Ryan Coogler</t>
  </si>
  <si>
    <t xml:space="preserve">Top-rated 2025; horror/Americana</t>
  </si>
  <si>
    <t xml:space="preserve">The Boy and the Heron</t>
  </si>
  <si>
    <t xml:space="preserve">Hayao Miyazaki</t>
  </si>
  <si>
    <t xml:space="preserve">Miyazaki is a hub; late-style</t>
  </si>
  <si>
    <t xml:space="preserve">The Brutalist</t>
  </si>
  <si>
    <t xml:space="preserve">Brady Corbet</t>
  </si>
  <si>
    <t xml:space="preserve">2024 awards; architecture/immigration</t>
  </si>
  <si>
    <t xml:space="preserve">The Farewell</t>
  </si>
  <si>
    <t xml:space="preserve">Lulu Wang</t>
  </si>
  <si>
    <t xml:space="preserve">USA/China</t>
  </si>
  <si>
    <t xml:space="preserve">Diaspora/grief; high search</t>
  </si>
  <si>
    <t xml:space="preserve">The French Dispatch</t>
  </si>
  <si>
    <t xml:space="preserve">Anderson is a hub; anthology</t>
  </si>
  <si>
    <t xml:space="preserve">The Green Knight</t>
  </si>
  <si>
    <t xml:space="preserve">David Lowery</t>
  </si>
  <si>
    <t xml:space="preserve">Myth/adaptation; A24</t>
  </si>
  <si>
    <t xml:space="preserve">The Holdovers</t>
  </si>
  <si>
    <t xml:space="preserve">Alexander Payne</t>
  </si>
  <si>
    <t xml:space="preserve">Payne is in; class/melancholy</t>
  </si>
  <si>
    <t xml:space="preserve">The Lost Daughter</t>
  </si>
  <si>
    <t xml:space="preserve">Maggie Gyllenhaal</t>
  </si>
  <si>
    <t xml:space="preserve">USA/Greece</t>
  </si>
  <si>
    <t xml:space="preserve">Motherhood/ambivalence</t>
  </si>
  <si>
    <t xml:space="preserve">The Substance</t>
  </si>
  <si>
    <t xml:space="preserve">Coralie Fargeat</t>
  </si>
  <si>
    <t xml:space="preserve">France/UK</t>
  </si>
  <si>
    <t xml:space="preserve">Body-horror/gaze; huge 2024 crit lit</t>
  </si>
  <si>
    <t xml:space="preserve">The Trial of the Chicago 7</t>
  </si>
  <si>
    <t xml:space="preserve">Aaron Sorkin</t>
  </si>
  <si>
    <t xml:space="preserve">Sorkin is in; politics/trial</t>
  </si>
  <si>
    <t xml:space="preserve">The Whale</t>
  </si>
  <si>
    <t xml:space="preserve">Darren Aronofsky</t>
  </si>
  <si>
    <t xml:space="preserve">Aronofsky is a hub; body/shame</t>
  </si>
  <si>
    <r>
      <rPr>
        <sz val="10"/>
        <color rgb="FF222222"/>
        <rFont val="Noto Sans CJK SC"/>
        <family val="2"/>
      </rPr>
      <t xml:space="preserve">대중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장르</t>
    </r>
  </si>
  <si>
    <t xml:space="preserve">A Tale of Two Sisters</t>
  </si>
  <si>
    <t xml:space="preserve">Kim Jee-woon</t>
  </si>
  <si>
    <t xml:space="preserve">2003</t>
  </si>
  <si>
    <t xml:space="preserve">K-horror; family/psyche</t>
  </si>
  <si>
    <t xml:space="preserve">Alien</t>
  </si>
  <si>
    <t xml:space="preserve">Ridley Scott</t>
  </si>
  <si>
    <t xml:space="preserve">Creed 'monstrous-feminine' source text</t>
  </si>
  <si>
    <t xml:space="preserve">Audition</t>
  </si>
  <si>
    <t xml:space="preserve">Takashi Miike</t>
  </si>
  <si>
    <t xml:space="preserve">1999</t>
  </si>
  <si>
    <t xml:space="preserve">J-horror; gender/body crit</t>
  </si>
  <si>
    <t xml:space="preserve">Avengers: Infinity War</t>
  </si>
  <si>
    <t xml:space="preserve">Anthony Russo</t>
  </si>
  <si>
    <t xml:space="preserve">2018</t>
  </si>
  <si>
    <t xml:space="preserve">MCU hub; only Avengers/Endgame in</t>
  </si>
  <si>
    <t xml:space="preserve">Close Encounters of the Third Kind</t>
  </si>
  <si>
    <t xml:space="preserve">Steven Spielberg</t>
  </si>
  <si>
    <t xml:space="preserve">1977</t>
  </si>
  <si>
    <t xml:space="preserve">Spielberg hub; wonder/sublime</t>
  </si>
  <si>
    <t xml:space="preserve">Cure</t>
  </si>
  <si>
    <t xml:space="preserve">Kiyoshi Kurosawa</t>
  </si>
  <si>
    <t xml:space="preserve">1997</t>
  </si>
  <si>
    <t xml:space="preserve">Hypnosis/dread; crit darling</t>
  </si>
  <si>
    <t xml:space="preserve">Dawn of the Dead</t>
  </si>
  <si>
    <t xml:space="preserve">George A. Romero</t>
  </si>
  <si>
    <t xml:space="preserve">1978</t>
  </si>
  <si>
    <t xml:space="preserve">Consumerism/zombie; Jameson</t>
  </si>
  <si>
    <t xml:space="preserve">Dune</t>
  </si>
  <si>
    <t xml:space="preserve">Denis Villeneuve</t>
  </si>
  <si>
    <t xml:space="preserve">Villeneuve is a hub; only Lynch Dune in</t>
  </si>
  <si>
    <t xml:space="preserve">Dune: Part Two</t>
  </si>
  <si>
    <t xml:space="preserve">Villeneuve hub; ecology/power</t>
  </si>
  <si>
    <t xml:space="preserve">I Saw the Devil</t>
  </si>
  <si>
    <t xml:space="preserve">2010</t>
  </si>
  <si>
    <t xml:space="preserve">Revenge/violence; K-cinema hub</t>
  </si>
  <si>
    <t xml:space="preserve">Indiana Jones and the Temple of Doom</t>
  </si>
  <si>
    <t xml:space="preserve">1984</t>
  </si>
  <si>
    <t xml:space="preserve">Spielberg hub; colonial crit</t>
  </si>
  <si>
    <t xml:space="preserve">Jaws</t>
  </si>
  <si>
    <t xml:space="preserve">Blockbuster origin; Jameson/ideology</t>
  </si>
  <si>
    <t xml:space="preserve">Longlegs</t>
  </si>
  <si>
    <t xml:space="preserve">Osgood Perkins</t>
  </si>
  <si>
    <t xml:space="preserve">2024 horror hit; dread/form</t>
  </si>
  <si>
    <t xml:space="preserve">Mad Max 2: The Road Warrior</t>
  </si>
  <si>
    <t xml:space="preserve">George Miller</t>
  </si>
  <si>
    <t xml:space="preserve">1981</t>
  </si>
  <si>
    <t xml:space="preserve">Australia</t>
  </si>
  <si>
    <t xml:space="preserve">Miller is a hub; wasteland myth</t>
  </si>
  <si>
    <t xml:space="preserve">Night of the Living Dead</t>
  </si>
  <si>
    <t xml:space="preserve">Zombie/race allegory source</t>
  </si>
  <si>
    <t xml:space="preserve">Pearl</t>
  </si>
  <si>
    <t xml:space="preserve">Ti West</t>
  </si>
  <si>
    <t xml:space="preserve">Technicolor horror; star/gaze</t>
  </si>
  <si>
    <t xml:space="preserve">Planet of the Apes</t>
  </si>
  <si>
    <t xml:space="preserve">Franklin J. Schaffner</t>
  </si>
  <si>
    <t xml:space="preserve">Allegory/race; SF canon</t>
  </si>
  <si>
    <t xml:space="preserve">Possession</t>
  </si>
  <si>
    <t xml:space="preserve">Andrzej Zulawski</t>
  </si>
  <si>
    <t xml:space="preserve">France/Germany</t>
  </si>
  <si>
    <t xml:space="preserve">Body/marriage horror; cult crit</t>
  </si>
  <si>
    <t xml:space="preserve">Ringu</t>
  </si>
  <si>
    <t xml:space="preserve">Hideo Nakata</t>
  </si>
  <si>
    <t xml:space="preserve">1998</t>
  </si>
  <si>
    <t xml:space="preserve">J-horror origin (US Ring is in)</t>
  </si>
  <si>
    <t xml:space="preserve">Rocky</t>
  </si>
  <si>
    <t xml:space="preserve">John G. Avildsen</t>
  </si>
  <si>
    <t xml:space="preserve">Only Rocky IV in; masculinity/Reagan</t>
  </si>
  <si>
    <t xml:space="preserve">Rosemary's Baby</t>
  </si>
  <si>
    <t xml:space="preserve">Pregnancy-horror; feminist crit</t>
  </si>
  <si>
    <t xml:space="preserve">Spider-Man 2</t>
  </si>
  <si>
    <t xml:space="preserve">Sam Raimi</t>
  </si>
  <si>
    <t xml:space="preserve">2004</t>
  </si>
  <si>
    <t xml:space="preserve">Raimi is in; superhero ethics</t>
  </si>
  <si>
    <t xml:space="preserve">Spider-Man: Across the Spider-Verse</t>
  </si>
  <si>
    <t xml:space="preserve">Joaquim Dos Santos</t>
  </si>
  <si>
    <t xml:space="preserve">Spider-Verse gap; form/animation</t>
  </si>
  <si>
    <t xml:space="preserve">Star Wars</t>
  </si>
  <si>
    <t xml:space="preserve">George Lucas</t>
  </si>
  <si>
    <t xml:space="preserve">Franchise origin (only sequels in); myth</t>
  </si>
  <si>
    <t xml:space="preserve">Superman</t>
  </si>
  <si>
    <t xml:space="preserve">Richard Donner</t>
  </si>
  <si>
    <t xml:space="preserve">Superhero myth origin; high search</t>
  </si>
  <si>
    <t xml:space="preserve">Suspiria</t>
  </si>
  <si>
    <t xml:space="preserve">Dario Argento</t>
  </si>
  <si>
    <t xml:space="preserve">Color/giallo; horror crit lit</t>
  </si>
  <si>
    <t xml:space="preserve">Talk to Me</t>
  </si>
  <si>
    <t xml:space="preserve">Danny Philippou</t>
  </si>
  <si>
    <t xml:space="preserve">New horror; grief/possession</t>
  </si>
  <si>
    <t xml:space="preserve">The Batman</t>
  </si>
  <si>
    <t xml:space="preserve">Matt Reeves</t>
  </si>
  <si>
    <t xml:space="preserve">Noir superhero; high search</t>
  </si>
  <si>
    <t xml:space="preserve">The Evil Dead</t>
  </si>
  <si>
    <t xml:space="preserve">Raimi is in; cabin/horror form</t>
  </si>
  <si>
    <t xml:space="preserve">The Exorcist</t>
  </si>
  <si>
    <t xml:space="preserve">William Friedkin</t>
  </si>
  <si>
    <t xml:space="preserve">1973</t>
  </si>
  <si>
    <t xml:space="preserve">Horror canon; body/religion crit</t>
  </si>
  <si>
    <t xml:space="preserve">The Host</t>
  </si>
  <si>
    <t xml:space="preserve">2006</t>
  </si>
  <si>
    <t xml:space="preserve">Bong is a hub; monster/politics</t>
  </si>
  <si>
    <t xml:space="preserve">The Lord of the Rings: The Return of the King</t>
  </si>
  <si>
    <t xml:space="preserve">Peter Jackson</t>
  </si>
  <si>
    <t xml:space="preserve">NZ/USA</t>
  </si>
  <si>
    <t xml:space="preserve">Trilogy gap; myth; huge search</t>
  </si>
  <si>
    <t xml:space="preserve">The Lord of the Rings: The Two Towers</t>
  </si>
  <si>
    <t xml:space="preserve">2002</t>
  </si>
  <si>
    <t xml:space="preserve">Trilogy gap; myth</t>
  </si>
  <si>
    <t xml:space="preserve">The Texas Chain Saw Massacre</t>
  </si>
  <si>
    <t xml:space="preserve">Tobe Hooper</t>
  </si>
  <si>
    <t xml:space="preserve">Slasher theory source</t>
  </si>
  <si>
    <t xml:space="preserve">The Wicker Man</t>
  </si>
  <si>
    <t xml:space="preserve">Robin Hardy</t>
  </si>
  <si>
    <t xml:space="preserve">Folk-horror canon source</t>
  </si>
  <si>
    <t xml:space="preserve">Thirst</t>
  </si>
  <si>
    <t xml:space="preserve">2009</t>
  </si>
  <si>
    <t xml:space="preserve">Park is a hub; vampire/desire</t>
  </si>
  <si>
    <t xml:space="preserve">X</t>
  </si>
  <si>
    <t xml:space="preserve">Meta-slasher; body/aging</t>
  </si>
  <si>
    <t xml:space="preserve">A Streetcar Named Desire</t>
  </si>
  <si>
    <t xml:space="preserve">Elia Kazan</t>
  </si>
  <si>
    <t xml:space="preserve">1951</t>
  </si>
  <si>
    <t xml:space="preserve">Desire/gender; Method</t>
  </si>
  <si>
    <t xml:space="preserve">A Woman Under the Influence</t>
  </si>
  <si>
    <t xml:space="preserve">John Cassavetes</t>
  </si>
  <si>
    <t xml:space="preserve">Cassavetes performance canon</t>
  </si>
  <si>
    <t xml:space="preserve">Aguirre, the Wrath of God</t>
  </si>
  <si>
    <t xml:space="preserve">Werner Herzog</t>
  </si>
  <si>
    <t xml:space="preserve">Herzog colonial madness canon</t>
  </si>
  <si>
    <t xml:space="preserve">Ali: Fear Eats the Soul</t>
  </si>
  <si>
    <t xml:space="preserve">Rainer Werner Fassbinder</t>
  </si>
  <si>
    <t xml:space="preserve">Race/melodrama; Sirkian</t>
  </si>
  <si>
    <t xml:space="preserve">All About Eve</t>
  </si>
  <si>
    <t xml:space="preserve">Joseph L. Mankiewicz</t>
  </si>
  <si>
    <t xml:space="preserve">Theatre/ambition; gender</t>
  </si>
  <si>
    <t xml:space="preserve">Annie Hall</t>
  </si>
  <si>
    <t xml:space="preserve">Woody Allen</t>
  </si>
  <si>
    <t xml:space="preserve">Romcom/form; high search</t>
  </si>
  <si>
    <t xml:space="preserve">Ashes and Diamonds</t>
  </si>
  <si>
    <t xml:space="preserve">Andrzej Wajda</t>
  </si>
  <si>
    <t xml:space="preserve">Polish postwar canon</t>
  </si>
  <si>
    <t xml:space="preserve">Badlands</t>
  </si>
  <si>
    <t xml:space="preserve">Terrence Malick</t>
  </si>
  <si>
    <t xml:space="preserve">Malick already a hub; extends graph</t>
  </si>
  <si>
    <t xml:space="preserve">Belle de Jour</t>
  </si>
  <si>
    <t xml:space="preserve">Luis Bunuel</t>
  </si>
  <si>
    <t xml:space="preserve">1967</t>
  </si>
  <si>
    <t xml:space="preserve">Fantasy/desire; psychoanalysis</t>
  </si>
  <si>
    <t xml:space="preserve">Bonnie and Clyde</t>
  </si>
  <si>
    <t xml:space="preserve">Arthur Penn</t>
  </si>
  <si>
    <t xml:space="preserve">New Hollywood violence turn</t>
  </si>
  <si>
    <t xml:space="preserve">Bringing Up Baby</t>
  </si>
  <si>
    <t xml:space="preserve">Howard Hawks</t>
  </si>
  <si>
    <t xml:space="preserve">1938</t>
  </si>
  <si>
    <t xml:space="preserve">Screwball/gender canon</t>
  </si>
  <si>
    <t xml:space="preserve">Charulata</t>
  </si>
  <si>
    <t xml:space="preserve">Ray gaze/interior canon</t>
  </si>
  <si>
    <t xml:space="preserve">Children of Paradise</t>
  </si>
  <si>
    <t xml:space="preserve">Marcel Carne</t>
  </si>
  <si>
    <t xml:space="preserve">1945</t>
  </si>
  <si>
    <t xml:space="preserve">Theatre/spectacle canon</t>
  </si>
  <si>
    <t xml:space="preserve">Cleo from 5 to 7</t>
  </si>
  <si>
    <t xml:space="preserve">Agnes Varda</t>
  </si>
  <si>
    <t xml:space="preserve">Varda time/gaze canon</t>
  </si>
  <si>
    <t xml:space="preserve">Contempt</t>
  </si>
  <si>
    <t xml:space="preserve">Cinema-on-cinema; gaze</t>
  </si>
  <si>
    <t xml:space="preserve">Daisies</t>
  </si>
  <si>
    <t xml:space="preserve">Vera Chytilova</t>
  </si>
  <si>
    <t xml:space="preserve">Czechoslovakia</t>
  </si>
  <si>
    <t xml:space="preserve">Feminist avant-garde canon</t>
  </si>
  <si>
    <t xml:space="preserve">Days of Heaven</t>
  </si>
  <si>
    <t xml:space="preserve">Malick image/nature canon</t>
  </si>
  <si>
    <t xml:space="preserve">Dog Day Afternoon</t>
  </si>
  <si>
    <t xml:space="preserve">Queer/heist; ideology</t>
  </si>
  <si>
    <t xml:space="preserve">Don't Look Now</t>
  </si>
  <si>
    <t xml:space="preserve">Nicolas Roeg</t>
  </si>
  <si>
    <t xml:space="preserve">Editing/grief; horror-adjacent canon</t>
  </si>
  <si>
    <t xml:space="preserve">Eraserhead</t>
  </si>
  <si>
    <t xml:space="preserve">David Lynch</t>
  </si>
  <si>
    <t xml:space="preserve">Lynch already a hub; body/anxiety</t>
  </si>
  <si>
    <t xml:space="preserve">Fitzcarraldo</t>
  </si>
  <si>
    <t xml:space="preserve">1982</t>
  </si>
  <si>
    <t xml:space="preserve">Herzog obsession canon</t>
  </si>
  <si>
    <t xml:space="preserve">Grand Illusion</t>
  </si>
  <si>
    <t xml:space="preserve">1937</t>
  </si>
  <si>
    <t xml:space="preserve">War/class humanism canon</t>
  </si>
  <si>
    <t xml:space="preserve">Harakiri</t>
  </si>
  <si>
    <t xml:space="preserve">Masaki Kobayashi</t>
  </si>
  <si>
    <t xml:space="preserve">Bushido critique; canon</t>
  </si>
  <si>
    <t xml:space="preserve">Hiroshima Mon Amour</t>
  </si>
  <si>
    <t xml:space="preserve">Alain Resnais</t>
  </si>
  <si>
    <t xml:space="preserve">Memory/trauma; canon</t>
  </si>
  <si>
    <t xml:space="preserve">In the Realm of the Senses</t>
  </si>
  <si>
    <t xml:space="preserve">Nagisa Oshima</t>
  </si>
  <si>
    <t xml:space="preserve">Sexuality/transgression crit</t>
  </si>
  <si>
    <t xml:space="preserve">It's a Wonderful Life</t>
  </si>
  <si>
    <t xml:space="preserve">Frank Capra</t>
  </si>
  <si>
    <t xml:space="preserve">1946</t>
  </si>
  <si>
    <t xml:space="preserve">High search; Americana ideology</t>
  </si>
  <si>
    <t xml:space="preserve">Jules and Jim</t>
  </si>
  <si>
    <t xml:space="preserve">New Wave love-triangle canon</t>
  </si>
  <si>
    <t xml:space="preserve">Last Year at Marienbad</t>
  </si>
  <si>
    <t xml:space="preserve">1961</t>
  </si>
  <si>
    <t xml:space="preserve">Time/narration modernism</t>
  </si>
  <si>
    <t xml:space="preserve">Late Spring</t>
  </si>
  <si>
    <t xml:space="preserve">Ozu marriage/space canon</t>
  </si>
  <si>
    <t xml:space="preserve">Manhattan</t>
  </si>
  <si>
    <t xml:space="preserve">City/romance canon</t>
  </si>
  <si>
    <t xml:space="preserve">McCabe &amp; Mrs. Miller</t>
  </si>
  <si>
    <t xml:space="preserve">Robert Altman</t>
  </si>
  <si>
    <t xml:space="preserve">Revisionist Western canon</t>
  </si>
  <si>
    <t xml:space="preserve">Mean Streets</t>
  </si>
  <si>
    <t xml:space="preserve">Early Scorsese; extends hub</t>
  </si>
  <si>
    <t xml:space="preserve">Nashville</t>
  </si>
  <si>
    <t xml:space="preserve">Altman mosaic; Americana</t>
  </si>
  <si>
    <t xml:space="preserve">Network</t>
  </si>
  <si>
    <t xml:space="preserve">Media critique; high search</t>
  </si>
  <si>
    <t xml:space="preserve">On the Waterfront</t>
  </si>
  <si>
    <t xml:space="preserve">Labor/conscience canon</t>
  </si>
  <si>
    <t xml:space="preserve">One Flew Over the Cuckoo's Nest</t>
  </si>
  <si>
    <t xml:space="preserve">Milos Forman</t>
  </si>
  <si>
    <t xml:space="preserve">Foucault/institution readings</t>
  </si>
  <si>
    <t xml:space="preserve">Pierrot le Fou</t>
  </si>
  <si>
    <t xml:space="preserve">1965</t>
  </si>
  <si>
    <t xml:space="preserve">Godard color/violence canon</t>
  </si>
  <si>
    <t xml:space="preserve">Rocco and His Brothers</t>
  </si>
  <si>
    <t xml:space="preserve">Luchino Visconti</t>
  </si>
  <si>
    <t xml:space="preserve">Migration/melodrama</t>
  </si>
  <si>
    <t xml:space="preserve">Salo, or the 120 Days of Sodom</t>
  </si>
  <si>
    <t xml:space="preserve">Pier Paolo Pasolini</t>
  </si>
  <si>
    <t xml:space="preserve">Power/fascism; extreme-cinema crit</t>
  </si>
  <si>
    <t xml:space="preserve">Sansho the Bailiff</t>
  </si>
  <si>
    <t xml:space="preserve">Kenji Mizoguchi</t>
  </si>
  <si>
    <t xml:space="preserve">Mizoguchi canon</t>
  </si>
  <si>
    <t xml:space="preserve">Stagecoach</t>
  </si>
  <si>
    <t xml:space="preserve">Western/space; Ford canon</t>
  </si>
  <si>
    <t xml:space="preserve">The Color of Pomegranates</t>
  </si>
  <si>
    <t xml:space="preserve">Sergei Parajanov</t>
  </si>
  <si>
    <t xml:space="preserve">1969</t>
  </si>
  <si>
    <t xml:space="preserve">USSR/Armenia</t>
  </si>
  <si>
    <t xml:space="preserve">Tableau form; canon</t>
  </si>
  <si>
    <t xml:space="preserve">The Conversation</t>
  </si>
  <si>
    <t xml:space="preserve">Surveillance/sound; Chion</t>
  </si>
  <si>
    <t xml:space="preserve">The Cranes Are Flying</t>
  </si>
  <si>
    <t xml:space="preserve">Mikhail Kalatozov</t>
  </si>
  <si>
    <t xml:space="preserve">Camera movement canon</t>
  </si>
  <si>
    <t xml:space="preserve">The Discreet Charm of the Bourgeoisie</t>
  </si>
  <si>
    <t xml:space="preserve">Surreal class satire</t>
  </si>
  <si>
    <t xml:space="preserve">The Graduate</t>
  </si>
  <si>
    <t xml:space="preserve">Mike Nichols</t>
  </si>
  <si>
    <t xml:space="preserve">Generation/desire; high search</t>
  </si>
  <si>
    <t xml:space="preserve">The Leopard</t>
  </si>
  <si>
    <t xml:space="preserve">Class/time; Visconti canon</t>
  </si>
  <si>
    <t xml:space="preserve">The Marriage of Maria Braun</t>
  </si>
  <si>
    <t xml:space="preserve">Postwar allegory</t>
  </si>
  <si>
    <t xml:space="preserve">The Night of the Hunter</t>
  </si>
  <si>
    <t xml:space="preserve">Charles Laughton</t>
  </si>
  <si>
    <t xml:space="preserve">Expressionist fable canon</t>
  </si>
  <si>
    <t xml:space="preserve">The Spirit of the Beehive</t>
  </si>
  <si>
    <t xml:space="preserve">Victor Erice</t>
  </si>
  <si>
    <t xml:space="preserve">Spain</t>
  </si>
  <si>
    <t xml:space="preserve">Childhood/Francoism canon</t>
  </si>
  <si>
    <t xml:space="preserve">The Umbrellas of Cherbourg</t>
  </si>
  <si>
    <t xml:space="preserve">Jacques Demy</t>
  </si>
  <si>
    <t xml:space="preserve">Sung melodrama; canon</t>
  </si>
  <si>
    <t xml:space="preserve">The Wages of Fear</t>
  </si>
  <si>
    <t xml:space="preserve">Henri-Georges Clouzot</t>
  </si>
  <si>
    <t xml:space="preserve">Suspense/labor canon</t>
  </si>
  <si>
    <t xml:space="preserve">The Wild Bunch</t>
  </si>
  <si>
    <t xml:space="preserve">Sam Peckinpah</t>
  </si>
  <si>
    <t xml:space="preserve">Violence/Western elegy</t>
  </si>
  <si>
    <t xml:space="preserve">Ugetsu</t>
  </si>
  <si>
    <t xml:space="preserve">Mizoguchi ghost canon</t>
  </si>
  <si>
    <t xml:space="preserve">Viridiana</t>
  </si>
  <si>
    <t xml:space="preserve">Religion/transgression; Palme</t>
  </si>
  <si>
    <t xml:space="preserve">A Complete Unknown</t>
  </si>
  <si>
    <t xml:space="preserve">James Mangold</t>
  </si>
  <si>
    <t xml:space="preserve">Mangold is in; biopic/myth</t>
  </si>
  <si>
    <t xml:space="preserve">A Real Pain</t>
  </si>
  <si>
    <t xml:space="preserve">Jesse Eisenberg</t>
  </si>
  <si>
    <t xml:space="preserve">USA/Poland</t>
  </si>
  <si>
    <t xml:space="preserve">Memory/trauma tourism; 2024</t>
  </si>
  <si>
    <t xml:space="preserve">About Dry Grasses</t>
  </si>
  <si>
    <t xml:space="preserve">Nuri Bilge Ceylan</t>
  </si>
  <si>
    <t xml:space="preserve">Turkey</t>
  </si>
  <si>
    <t xml:space="preserve">Ceylan is a hub; talk/ethics</t>
  </si>
  <si>
    <t xml:space="preserve">All About My Mother</t>
  </si>
  <si>
    <t xml:space="preserve">Pedro Almodovar</t>
  </si>
  <si>
    <t xml:space="preserve">Almodovar; performance/identity</t>
  </si>
  <si>
    <t xml:space="preserve">Beanpole</t>
  </si>
  <si>
    <t xml:space="preserve">Kantemir Balagov</t>
  </si>
  <si>
    <t xml:space="preserve">Russia</t>
  </si>
  <si>
    <t xml:space="preserve">Postwar trauma; color/body</t>
  </si>
  <si>
    <t xml:space="preserve">Bird</t>
  </si>
  <si>
    <t xml:space="preserve">Andrea Arnold</t>
  </si>
  <si>
    <t xml:space="preserve">Arnold is a hub; social-realist/magic</t>
  </si>
  <si>
    <t xml:space="preserve">Blue Moon</t>
  </si>
  <si>
    <t xml:space="preserve">Richard Linklater</t>
  </si>
  <si>
    <t xml:space="preserve">Linklater is a hub; Berlinale 2025</t>
  </si>
  <si>
    <t xml:space="preserve">Bugonia</t>
  </si>
  <si>
    <t xml:space="preserve">Yorgos Lanthimos</t>
  </si>
  <si>
    <t xml:space="preserve">Lanthimos is a hub; Oscar nom 2026</t>
  </si>
  <si>
    <t xml:space="preserve">Challengers</t>
  </si>
  <si>
    <t xml:space="preserve">Luca Guadagnino</t>
  </si>
  <si>
    <t xml:space="preserve">Guadagnino is in; desire/sport</t>
  </si>
  <si>
    <t xml:space="preserve">Civil War</t>
  </si>
  <si>
    <t xml:space="preserve">Alex Garland</t>
  </si>
  <si>
    <t xml:space="preserve">Garland is in; image/witness</t>
  </si>
  <si>
    <t xml:space="preserve">Corsage</t>
  </si>
  <si>
    <t xml:space="preserve">Marie Kreutzer</t>
  </si>
  <si>
    <t xml:space="preserve">Austria</t>
  </si>
  <si>
    <t xml:space="preserve">Empress/biopic revisionism</t>
  </si>
  <si>
    <t xml:space="preserve">Dreams</t>
  </si>
  <si>
    <t xml:space="preserve">Dag Johan Haugerud</t>
  </si>
  <si>
    <t xml:space="preserve">Berlinale 2025 Golden Bear</t>
  </si>
  <si>
    <t xml:space="preserve">Emilia Perez</t>
  </si>
  <si>
    <t xml:space="preserve">Jacques Audiard</t>
  </si>
  <si>
    <t xml:space="preserve">Audiard is a hub; trans/genre</t>
  </si>
  <si>
    <t xml:space="preserve">Father Mother Sister Brother</t>
  </si>
  <si>
    <t xml:space="preserve">Jim Jarmusch</t>
  </si>
  <si>
    <t xml:space="preserve">Venice 2025 Golden Lion</t>
  </si>
  <si>
    <t xml:space="preserve">Frankenstein</t>
  </si>
  <si>
    <t xml:space="preserve">Guillermo del Toro</t>
  </si>
  <si>
    <t xml:space="preserve">USA/Mexico</t>
  </si>
  <si>
    <t xml:space="preserve">del Toro is in; myth/body; Oscar nom 2026</t>
  </si>
  <si>
    <t xml:space="preserve">Godland</t>
  </si>
  <si>
    <t xml:space="preserve">Hlynur Palmason</t>
  </si>
  <si>
    <t xml:space="preserve">Iceland/Denmark</t>
  </si>
  <si>
    <t xml:space="preserve">Colonial/landscape; form</t>
  </si>
  <si>
    <t xml:space="preserve">Great Freedom</t>
  </si>
  <si>
    <t xml:space="preserve">Sebastian Meise</t>
  </si>
  <si>
    <t xml:space="preserve">Para.175/queer history; Foucault</t>
  </si>
  <si>
    <t xml:space="preserve">Hamnet</t>
  </si>
  <si>
    <t xml:space="preserve">Chloe Zhao</t>
  </si>
  <si>
    <t xml:space="preserve">Zhao is in; grief; Oscar nom 2026</t>
  </si>
  <si>
    <t xml:space="preserve">Hard Truths</t>
  </si>
  <si>
    <t xml:space="preserve">Mike Leigh</t>
  </si>
  <si>
    <t xml:space="preserve">Leigh realism; performance</t>
  </si>
  <si>
    <t xml:space="preserve">Marty Supreme</t>
  </si>
  <si>
    <t xml:space="preserve">Josh Safdie</t>
  </si>
  <si>
    <t xml:space="preserve">Safdie energy; Oscar nom 2026</t>
  </si>
  <si>
    <t xml:space="preserve">Nobody Knows</t>
  </si>
  <si>
    <t xml:space="preserve">Kore-eda; abandonment</t>
  </si>
  <si>
    <t xml:space="preserve">Pacifiction</t>
  </si>
  <si>
    <t xml:space="preserve">Albert Serra</t>
  </si>
  <si>
    <t xml:space="preserve">Colonial dread; slow cinema</t>
  </si>
  <si>
    <t xml:space="preserve">Pain and Glory</t>
  </si>
  <si>
    <t xml:space="preserve">Almodovar big hub; memory/autofiction</t>
  </si>
  <si>
    <t xml:space="preserve">Parallel Mothers</t>
  </si>
  <si>
    <t xml:space="preserve">Almodovar; motherhood/history</t>
  </si>
  <si>
    <t xml:space="preserve">Plan 75</t>
  </si>
  <si>
    <t xml:space="preserve">Chie Hayakawa</t>
  </si>
  <si>
    <t xml:space="preserve">Aging/biopolitics; Foucault</t>
  </si>
  <si>
    <t xml:space="preserve">Sick of Myself</t>
  </si>
  <si>
    <t xml:space="preserve">Kristoffer Borgli</t>
  </si>
  <si>
    <t xml:space="preserve">Attention/narcissism satire</t>
  </si>
  <si>
    <t xml:space="preserve">Sing Sing</t>
  </si>
  <si>
    <t xml:space="preserve">Greg Kwedar</t>
  </si>
  <si>
    <t xml:space="preserve">Prison/theatre; performance</t>
  </si>
  <si>
    <t xml:space="preserve">Sirat</t>
  </si>
  <si>
    <t xml:space="preserve">Oliver Laxe</t>
  </si>
  <si>
    <t xml:space="preserve">Cannes 2025 Jury Prize</t>
  </si>
  <si>
    <t xml:space="preserve">Sound of Falling</t>
  </si>
  <si>
    <t xml:space="preserve">Mascha Schilinski</t>
  </si>
  <si>
    <t xml:space="preserve">Still Walking</t>
  </si>
  <si>
    <t xml:space="preserve">2008</t>
  </si>
  <si>
    <t xml:space="preserve">Kore-eda hub; family/loss</t>
  </si>
  <si>
    <t xml:space="preserve">The Eight Mountains</t>
  </si>
  <si>
    <t xml:space="preserve">Felix van Groeningen</t>
  </si>
  <si>
    <t xml:space="preserve">Friendship/landscape</t>
  </si>
  <si>
    <t xml:space="preserve">The Girl with the Needle</t>
  </si>
  <si>
    <t xml:space="preserve">Magnus von Horn</t>
  </si>
  <si>
    <t xml:space="preserve">Denmark</t>
  </si>
  <si>
    <t xml:space="preserve">B&amp;W horror-history; Oscar nom</t>
  </si>
  <si>
    <t xml:space="preserve">The Innocents</t>
  </si>
  <si>
    <t xml:space="preserve">Eskil Vogt</t>
  </si>
  <si>
    <t xml:space="preserve">Childhood/power; horror-adjacent</t>
  </si>
  <si>
    <t xml:space="preserve">The Iron Claw</t>
  </si>
  <si>
    <t xml:space="preserve">Sean Durkin</t>
  </si>
  <si>
    <t xml:space="preserve">Masculinity/body; wrestling</t>
  </si>
  <si>
    <t xml:space="preserve">The Mastermind</t>
  </si>
  <si>
    <t xml:space="preserve">Reichardt; 2025 crit pick</t>
  </si>
  <si>
    <t xml:space="preserve">The Quiet Girl</t>
  </si>
  <si>
    <t xml:space="preserve">Colm Bairead</t>
  </si>
  <si>
    <t xml:space="preserve">Ireland</t>
  </si>
  <si>
    <t xml:space="preserve">Childhood/care; Irish-language</t>
  </si>
  <si>
    <t xml:space="preserve">The Room Next Door</t>
  </si>
  <si>
    <t xml:space="preserve">Spain/USA</t>
  </si>
  <si>
    <t xml:space="preserve">Venice 2024 Golden Lion; Almodovar</t>
  </si>
  <si>
    <t xml:space="preserve">The Secret Agent</t>
  </si>
  <si>
    <t xml:space="preserve">Kleber Mendonca Filho</t>
  </si>
  <si>
    <t xml:space="preserve">Cannes 2025 Director+Actor</t>
  </si>
  <si>
    <t xml:space="preserve">The Smashing Machine</t>
  </si>
  <si>
    <t xml:space="preserve">Benny Safdie</t>
  </si>
  <si>
    <t xml:space="preserve">Venice 2025 Best Director</t>
  </si>
  <si>
    <t xml:space="preserve">The Souvenir</t>
  </si>
  <si>
    <t xml:space="preserve">Joanna Hogg</t>
  </si>
  <si>
    <t xml:space="preserve">Memory/autofiction; class</t>
  </si>
  <si>
    <t xml:space="preserve">The Taste of Things</t>
  </si>
  <si>
    <t xml:space="preserve">Tran Anh Hung</t>
  </si>
  <si>
    <t xml:space="preserve">Food/labor/desire; Cannes Director</t>
  </si>
  <si>
    <t xml:space="preserve">The Voice of Hind Rajab</t>
  </si>
  <si>
    <t xml:space="preserve">Kaouther Ben Hania</t>
  </si>
  <si>
    <t xml:space="preserve">Tunisia</t>
  </si>
  <si>
    <t xml:space="preserve">Venice 2025 Grand Jury; Gaza</t>
  </si>
  <si>
    <t xml:space="preserve">Train Dreams</t>
  </si>
  <si>
    <t xml:space="preserve">Clint Bentley</t>
  </si>
  <si>
    <t xml:space="preserve">Americana/labor; Oscar nom 2026</t>
  </si>
  <si>
    <t xml:space="preserve">Volver</t>
  </si>
  <si>
    <t xml:space="preserve">Almodovar; ghosts/women</t>
  </si>
  <si>
    <t xml:space="preserve">Aladdin</t>
  </si>
  <si>
    <t xml:space="preserve">Ron Clements</t>
  </si>
  <si>
    <t xml:space="preserve">1992</t>
  </si>
  <si>
    <t xml:space="preserve">Orientalism crit lit; high search</t>
  </si>
  <si>
    <t xml:space="preserve">Castle in the Sky</t>
  </si>
  <si>
    <t xml:space="preserve">1986</t>
  </si>
  <si>
    <t xml:space="preserve">Ghibli gap; tech/nature</t>
  </si>
  <si>
    <t xml:space="preserve">Encanto</t>
  </si>
  <si>
    <t xml:space="preserve">Jared Bush</t>
  </si>
  <si>
    <t xml:space="preserve">Family/trauma; huge search</t>
  </si>
  <si>
    <t xml:space="preserve">Fantasia</t>
  </si>
  <si>
    <t xml:space="preserve">James Algar</t>
  </si>
  <si>
    <t xml:space="preserve">1940</t>
  </si>
  <si>
    <t xml:space="preserve">Music/abstraction; canon</t>
  </si>
  <si>
    <t xml:space="preserve">Fantastic Planet</t>
  </si>
  <si>
    <t xml:space="preserve">Rene Laloux</t>
  </si>
  <si>
    <t xml:space="preserve">SF allegory; animation canon</t>
  </si>
  <si>
    <t xml:space="preserve">Flee</t>
  </si>
  <si>
    <t xml:space="preserve">Jonas Poher Rasmussen</t>
  </si>
  <si>
    <t xml:space="preserve">Animated doc; refugee/memory</t>
  </si>
  <si>
    <t xml:space="preserve">Grizzly Man</t>
  </si>
  <si>
    <t xml:space="preserve">2005</t>
  </si>
  <si>
    <t xml:space="preserve">Herzog doc; nature/madness</t>
  </si>
  <si>
    <t xml:space="preserve">Hoop Dreams</t>
  </si>
  <si>
    <t xml:space="preserve">Steve James</t>
  </si>
  <si>
    <t xml:space="preserve">1994</t>
  </si>
  <si>
    <t xml:space="preserve">Doc; race/class/sport</t>
  </si>
  <si>
    <t xml:space="preserve">Howl's Moving Castle</t>
  </si>
  <si>
    <t xml:space="preserve">Ghibli gap; Miyazaki hub</t>
  </si>
  <si>
    <t xml:space="preserve">I Saw the TV Glow</t>
  </si>
  <si>
    <t xml:space="preserve">Jane Schoenbrun</t>
  </si>
  <si>
    <t xml:space="preserve">Trans allegory; media/horror</t>
  </si>
  <si>
    <t xml:space="preserve">Kiki's Delivery Service</t>
  </si>
  <si>
    <t xml:space="preserve">1989</t>
  </si>
  <si>
    <t xml:space="preserve">Ghibli gap; coming-of-age</t>
  </si>
  <si>
    <t xml:space="preserve">Millennium Actress</t>
  </si>
  <si>
    <t xml:space="preserve">Satoshi Kon</t>
  </si>
  <si>
    <t xml:space="preserve">2001</t>
  </si>
  <si>
    <t xml:space="preserve">Kon is in; memory/cinema</t>
  </si>
  <si>
    <t xml:space="preserve">Moana</t>
  </si>
  <si>
    <t xml:space="preserve">2016</t>
  </si>
  <si>
    <t xml:space="preserve">Myth/Pacific; representation</t>
  </si>
  <si>
    <t xml:space="preserve">Monsters, Inc.</t>
  </si>
  <si>
    <t xml:space="preserve">Pete Docter</t>
  </si>
  <si>
    <t xml:space="preserve">Docter is in; fear/labor</t>
  </si>
  <si>
    <t xml:space="preserve">Mulan</t>
  </si>
  <si>
    <t xml:space="preserve">Tony Bancroft</t>
  </si>
  <si>
    <t xml:space="preserve">Gender/nation; high search</t>
  </si>
  <si>
    <t xml:space="preserve">Night and Fog</t>
  </si>
  <si>
    <t xml:space="preserve">Holocaust essay-film canon</t>
  </si>
  <si>
    <t xml:space="preserve">Only Yesterday</t>
  </si>
  <si>
    <t xml:space="preserve">Isao Takahata</t>
  </si>
  <si>
    <t xml:space="preserve">1991</t>
  </si>
  <si>
    <t xml:space="preserve">Takahata; memory/rural</t>
  </si>
  <si>
    <t xml:space="preserve">Paprika</t>
  </si>
  <si>
    <t xml:space="preserve">Kon is in; dream/media</t>
  </si>
  <si>
    <t xml:space="preserve">Pinocchio</t>
  </si>
  <si>
    <t xml:space="preserve">Ben Sharpsteen</t>
  </si>
  <si>
    <t xml:space="preserve">Disney canon; fairy-tale/ideology</t>
  </si>
  <si>
    <t xml:space="preserve">Ponyo</t>
  </si>
  <si>
    <t xml:space="preserve">Ghibli gap; childhood/sea</t>
  </si>
  <si>
    <t xml:space="preserve">Porco Rosso</t>
  </si>
  <si>
    <t xml:space="preserve">Ghibli gap; fascism/flight</t>
  </si>
  <si>
    <t xml:space="preserve">Sans Soleil</t>
  </si>
  <si>
    <t xml:space="preserve">Chris Marker</t>
  </si>
  <si>
    <t xml:space="preserve">1983</t>
  </si>
  <si>
    <t xml:space="preserve">Essay-film canon; memory/image</t>
  </si>
  <si>
    <t xml:space="preserve">Shoah</t>
  </si>
  <si>
    <t xml:space="preserve">Claude Lanzmann</t>
  </si>
  <si>
    <t xml:space="preserve">1985</t>
  </si>
  <si>
    <t xml:space="preserve">Holocaust doc; testimony</t>
  </si>
  <si>
    <t xml:space="preserve">Snow White and the Seven Dwarfs</t>
  </si>
  <si>
    <t xml:space="preserve">David Hand</t>
  </si>
  <si>
    <t xml:space="preserve">Feature-animation origin; gender</t>
  </si>
  <si>
    <t xml:space="preserve">Soul</t>
  </si>
  <si>
    <t xml:space="preserve">Docter is in; existential</t>
  </si>
  <si>
    <t xml:space="preserve">The Act of Killing</t>
  </si>
  <si>
    <t xml:space="preserve">Joshua Oppenheimer</t>
  </si>
  <si>
    <t xml:space="preserve">Doc; perpetrator/performance</t>
  </si>
  <si>
    <t xml:space="preserve">The Iron Giant</t>
  </si>
  <si>
    <t xml:space="preserve">Brad Bird</t>
  </si>
  <si>
    <t xml:space="preserve">Bird is in; pacifism/Cold War</t>
  </si>
  <si>
    <t xml:space="preserve">The Tale of the Princess Kaguya</t>
  </si>
  <si>
    <t xml:space="preserve">2013</t>
  </si>
  <si>
    <t xml:space="preserve">Takahata is in; form/myth</t>
  </si>
  <si>
    <t xml:space="preserve">The Triplets of Belleville</t>
  </si>
  <si>
    <t xml:space="preserve">Sylvain Chomet</t>
  </si>
  <si>
    <t xml:space="preserve">Form/satire; animation crit</t>
  </si>
  <si>
    <t xml:space="preserve">The Wind Rises</t>
  </si>
  <si>
    <t xml:space="preserve">Ghibli gap; war/creation ethics</t>
  </si>
  <si>
    <t xml:space="preserve">Tokyo Godfathers</t>
  </si>
  <si>
    <t xml:space="preserve">Kon is in; city/family</t>
  </si>
  <si>
    <t xml:space="preserve">Toy Story 2</t>
  </si>
  <si>
    <t xml:space="preserve">John Lasseter</t>
  </si>
  <si>
    <t xml:space="preserve">Pixar hub; collecting/identity</t>
  </si>
  <si>
    <t xml:space="preserve">Toy Story 3</t>
  </si>
  <si>
    <t xml:space="preserve">Lee Unkrich</t>
  </si>
  <si>
    <t xml:space="preserve">Pixar hub; mortality/objects</t>
  </si>
  <si>
    <t xml:space="preserve">Watership Down</t>
  </si>
  <si>
    <t xml:space="preserve">Martin Rosen</t>
  </si>
  <si>
    <t xml:space="preserve">Myth/violence; animation</t>
  </si>
  <si>
    <t xml:space="preserve">Wolfwalkers</t>
  </si>
  <si>
    <t xml:space="preserve">Tomm Moore</t>
  </si>
  <si>
    <t xml:space="preserve">Cartoon Saloon; colonial/nature</t>
  </si>
  <si>
    <t xml:space="preserve">Zootopia</t>
  </si>
  <si>
    <t xml:space="preserve">Byron Howard</t>
  </si>
  <si>
    <t xml:space="preserve">Allegory/race/policing</t>
  </si>
  <si>
    <t xml:space="preserve">2046</t>
  </si>
  <si>
    <t xml:space="preserve">Wong Kar-wai</t>
  </si>
  <si>
    <t xml:space="preserve">Hong Kong</t>
  </si>
  <si>
    <t xml:space="preserve">WKW; memory/SF</t>
  </si>
  <si>
    <t xml:space="preserve">A Brighter Summer Day</t>
  </si>
  <si>
    <t xml:space="preserve">Edward Yang</t>
  </si>
  <si>
    <t xml:space="preserve">Taiwan</t>
  </si>
  <si>
    <t xml:space="preserve">Youth/history epic; canon</t>
  </si>
  <si>
    <t xml:space="preserve">A Matter of Life and Death</t>
  </si>
  <si>
    <t xml:space="preserve">Michael Powell</t>
  </si>
  <si>
    <t xml:space="preserve">Powell-Pressburger; afterlife/color</t>
  </si>
  <si>
    <t xml:space="preserve">An Autumn Afternoon</t>
  </si>
  <si>
    <t xml:space="preserve">Ozu final; marriage/time</t>
  </si>
  <si>
    <t xml:space="preserve">Aparajito</t>
  </si>
  <si>
    <t xml:space="preserve">Apu trilogy; Ray</t>
  </si>
  <si>
    <t xml:space="preserve">Army of Shadows</t>
  </si>
  <si>
    <t xml:space="preserve">Jean-Pierre Melville</t>
  </si>
  <si>
    <t xml:space="preserve">Resistance/ethics; canon</t>
  </si>
  <si>
    <t xml:space="preserve">Black Girl</t>
  </si>
  <si>
    <t xml:space="preserve">Ousmane Sembene</t>
  </si>
  <si>
    <t xml:space="preserve">Senegal</t>
  </si>
  <si>
    <t xml:space="preserve">Postcolonial canon; Sembene</t>
  </si>
  <si>
    <t xml:space="preserve">Black God, White Devil</t>
  </si>
  <si>
    <t xml:space="preserve">Glauber Rocha</t>
  </si>
  <si>
    <t xml:space="preserve">Cinema Novo canon</t>
  </si>
  <si>
    <t xml:space="preserve">Black Narcissus</t>
  </si>
  <si>
    <t xml:space="preserve">1947</t>
  </si>
  <si>
    <t xml:space="preserve">Repression/color; canon</t>
  </si>
  <si>
    <t xml:space="preserve">Cries and Whispers</t>
  </si>
  <si>
    <t xml:space="preserve">Death/red; Bergman</t>
  </si>
  <si>
    <t xml:space="preserve">Days of Being Wild</t>
  </si>
  <si>
    <t xml:space="preserve">1990</t>
  </si>
  <si>
    <t xml:space="preserve">WKW hub; time/longing</t>
  </si>
  <si>
    <t xml:space="preserve">Fallen Angels</t>
  </si>
  <si>
    <t xml:space="preserve">1995</t>
  </si>
  <si>
    <t xml:space="preserve">WKW; night-city form</t>
  </si>
  <si>
    <t xml:space="preserve">Fanny and Alexander</t>
  </si>
  <si>
    <t xml:space="preserve">Childhood/theatre; Bergman</t>
  </si>
  <si>
    <t xml:space="preserve">Floating Weeds</t>
  </si>
  <si>
    <t xml:space="preserve">Ozu color; theatre/family</t>
  </si>
  <si>
    <t xml:space="preserve">Flowers of Shanghai</t>
  </si>
  <si>
    <t xml:space="preserve">Hou Hsiao-hsien</t>
  </si>
  <si>
    <t xml:space="preserve">Hou; interior/ritual</t>
  </si>
  <si>
    <t xml:space="preserve">Happy Together</t>
  </si>
  <si>
    <t xml:space="preserve">WKW; queer/diaspora</t>
  </si>
  <si>
    <t xml:space="preserve">High and Low</t>
  </si>
  <si>
    <t xml:space="preserve">Class/crime; form</t>
  </si>
  <si>
    <t xml:space="preserve">Ju Dou</t>
  </si>
  <si>
    <t xml:space="preserve">Zhang Yimou</t>
  </si>
  <si>
    <t xml:space="preserve">China</t>
  </si>
  <si>
    <t xml:space="preserve">Zhang; color/transgression</t>
  </si>
  <si>
    <t xml:space="preserve">Kwaidan</t>
  </si>
  <si>
    <t xml:space="preserve">Ghost-story form; color</t>
  </si>
  <si>
    <t xml:space="preserve">L'Atalante</t>
  </si>
  <si>
    <t xml:space="preserve">Jean Vigo</t>
  </si>
  <si>
    <t xml:space="preserve">1934</t>
  </si>
  <si>
    <t xml:space="preserve">Poetic realism canon</t>
  </si>
  <si>
    <t xml:space="preserve">Le Cercle Rouge</t>
  </si>
  <si>
    <t xml:space="preserve">Heist/fatalism</t>
  </si>
  <si>
    <t xml:space="preserve">Le Samourai</t>
  </si>
  <si>
    <t xml:space="preserve">Minimalist noir; huge influence</t>
  </si>
  <si>
    <t xml:space="preserve">Lolita</t>
  </si>
  <si>
    <t xml:space="preserve">Kubrick; desire/satire</t>
  </si>
  <si>
    <t xml:space="preserve">Memories of Underdevelopment</t>
  </si>
  <si>
    <t xml:space="preserve">Tomas Gutierrez Alea</t>
  </si>
  <si>
    <t xml:space="preserve">Cuba</t>
  </si>
  <si>
    <t xml:space="preserve">Revolution/intellectual; canon</t>
  </si>
  <si>
    <t xml:space="preserve">Mon Oncle</t>
  </si>
  <si>
    <t xml:space="preserve">Jacques Tati</t>
  </si>
  <si>
    <t xml:space="preserve">Modernity satire</t>
  </si>
  <si>
    <t xml:space="preserve">Once Upon a Time in the West</t>
  </si>
  <si>
    <t xml:space="preserve">Sergio Leone</t>
  </si>
  <si>
    <t xml:space="preserve">Leone; Western elegy canon</t>
  </si>
  <si>
    <t xml:space="preserve">Onibaba</t>
  </si>
  <si>
    <t xml:space="preserve">Kaneto Shindo</t>
  </si>
  <si>
    <t xml:space="preserve">Folk-horror/sexuality</t>
  </si>
  <si>
    <t xml:space="preserve">Ordet</t>
  </si>
  <si>
    <t xml:space="preserve">Faith/miracle; Dreyer canon</t>
  </si>
  <si>
    <t xml:space="preserve">Out of the Past</t>
  </si>
  <si>
    <t xml:space="preserve">Jacques Tourneur</t>
  </si>
  <si>
    <t xml:space="preserve">Noir template</t>
  </si>
  <si>
    <t xml:space="preserve">Paths of Glory</t>
  </si>
  <si>
    <t xml:space="preserve">Kubrick; war/class injustice</t>
  </si>
  <si>
    <t xml:space="preserve">Pixote</t>
  </si>
  <si>
    <t xml:space="preserve">Hector Babenco</t>
  </si>
  <si>
    <t xml:space="preserve">Street children; realism</t>
  </si>
  <si>
    <t xml:space="preserve">Platform</t>
  </si>
  <si>
    <t xml:space="preserve">Jia Zhangke</t>
  </si>
  <si>
    <t xml:space="preserve">2000</t>
  </si>
  <si>
    <t xml:space="preserve">Jia (3 in); reform-era epic</t>
  </si>
  <si>
    <t xml:space="preserve">Playtime</t>
  </si>
  <si>
    <t xml:space="preserve">Modernity/architecture; form canon</t>
  </si>
  <si>
    <t xml:space="preserve">Ran</t>
  </si>
  <si>
    <t xml:space="preserve">Late Kurosawa Lear; color/war</t>
  </si>
  <si>
    <t xml:space="preserve">Scenes from a Marriage</t>
  </si>
  <si>
    <t xml:space="preserve">Marriage; talk-cinema</t>
  </si>
  <si>
    <t xml:space="preserve">Sweet Smell of Success</t>
  </si>
  <si>
    <t xml:space="preserve">Alexander Mackendrick</t>
  </si>
  <si>
    <t xml:space="preserve">Media/power; noir canon</t>
  </si>
  <si>
    <t xml:space="preserve">The Assassin</t>
  </si>
  <si>
    <t xml:space="preserve">2015</t>
  </si>
  <si>
    <t xml:space="preserve">Hou (City of Sadness in); wuxia/form</t>
  </si>
  <si>
    <t xml:space="preserve">The Earrings of Madame de...</t>
  </si>
  <si>
    <t xml:space="preserve">Max Ophuls</t>
  </si>
  <si>
    <t xml:space="preserve">Camera movement/objects canon</t>
  </si>
  <si>
    <t xml:space="preserve">The Good, the Bad and the Ugly</t>
  </si>
  <si>
    <t xml:space="preserve">Leone (OUaTime in America in); Western myth</t>
  </si>
  <si>
    <t xml:space="preserve">The Hidden Fortress</t>
  </si>
  <si>
    <t xml:space="preserve">Star Wars source; adventure</t>
  </si>
  <si>
    <t xml:space="preserve">The Lady from Shanghai</t>
  </si>
  <si>
    <t xml:space="preserve">Welles; mirror/noir</t>
  </si>
  <si>
    <t xml:space="preserve">The Life of Oharu</t>
  </si>
  <si>
    <t xml:space="preserve">Woman's suffering; Mizoguchi</t>
  </si>
  <si>
    <t xml:space="preserve">The Music Room</t>
  </si>
  <si>
    <t xml:space="preserve">Ray; decline/music</t>
  </si>
  <si>
    <t xml:space="preserve">The Official Story</t>
  </si>
  <si>
    <t xml:space="preserve">Luis Puenzo</t>
  </si>
  <si>
    <t xml:space="preserve">Argentina</t>
  </si>
  <si>
    <t xml:space="preserve">Dictatorship/memory; Oscar</t>
  </si>
  <si>
    <t xml:space="preserve">The Red Shoes</t>
  </si>
  <si>
    <t xml:space="preserve">Art/obsession; Technicolor canon</t>
  </si>
  <si>
    <t xml:space="preserve">The World of Apu</t>
  </si>
  <si>
    <t xml:space="preserve">Throne of Blood</t>
  </si>
  <si>
    <t xml:space="preserve">Macbeth/Noh; Kurosawa</t>
  </si>
  <si>
    <t xml:space="preserve">To Live</t>
  </si>
  <si>
    <t xml:space="preserve">Zhang (Red Lantern in); history/survival</t>
  </si>
  <si>
    <t xml:space="preserve">Touki Bouki</t>
  </si>
  <si>
    <t xml:space="preserve">Djibril Diop Mambety</t>
  </si>
  <si>
    <t xml:space="preserve">African canon (major gap); Diop lineage</t>
  </si>
  <si>
    <t xml:space="preserve">Wild Strawberries</t>
  </si>
  <si>
    <t xml:space="preserve">Memory/aging; Bergman</t>
  </si>
  <si>
    <t xml:space="preserve">Xala</t>
  </si>
  <si>
    <t xml:space="preserve">Postcolonial satire</t>
  </si>
  <si>
    <t xml:space="preserve">Yeelen</t>
  </si>
  <si>
    <t xml:space="preserve">Souleymane Cisse</t>
  </si>
  <si>
    <t xml:space="preserve">1987</t>
  </si>
  <si>
    <t xml:space="preserve">Mali</t>
  </si>
  <si>
    <t xml:space="preserve">African myth canon</t>
  </si>
  <si>
    <t xml:space="preserve">Yi Yi</t>
  </si>
  <si>
    <t xml:space="preserve">Taiwanese New Wave (major gap)</t>
  </si>
  <si>
    <t xml:space="preserve">Yojimbo</t>
  </si>
  <si>
    <t xml:space="preserve">Genre-template canon</t>
  </si>
  <si>
    <t xml:space="preserve">20th Century Women</t>
  </si>
  <si>
    <t xml:space="preserve">Mike Mills</t>
  </si>
  <si>
    <t xml:space="preserve">Mills; feminism/era</t>
  </si>
  <si>
    <t xml:space="preserve">A Different Man</t>
  </si>
  <si>
    <t xml:space="preserve">Aaron Schimberg</t>
  </si>
  <si>
    <t xml:space="preserve">Face/identity; A24</t>
  </si>
  <si>
    <t xml:space="preserve">A Hidden Life</t>
  </si>
  <si>
    <t xml:space="preserve">Malick hub; conscience/faith</t>
  </si>
  <si>
    <t xml:space="preserve">A Sun</t>
  </si>
  <si>
    <t xml:space="preserve">Chung Mong-hong</t>
  </si>
  <si>
    <t xml:space="preserve">Family/guilt; Taiwanese</t>
  </si>
  <si>
    <t xml:space="preserve">After Yang</t>
  </si>
  <si>
    <t xml:space="preserve">Kogonada</t>
  </si>
  <si>
    <t xml:space="preserve">AI/memory/family; Kogonada</t>
  </si>
  <si>
    <t xml:space="preserve">All Dirt Roads Taste of Salt</t>
  </si>
  <si>
    <t xml:space="preserve">Raven Jackson</t>
  </si>
  <si>
    <t xml:space="preserve">Memory/Black-Southern; form</t>
  </si>
  <si>
    <t xml:space="preserve">An Elephant Sitting Still</t>
  </si>
  <si>
    <t xml:space="preserve">Hu Bo</t>
  </si>
  <si>
    <t xml:space="preserve">Despair epic; slow cinema</t>
  </si>
  <si>
    <t xml:space="preserve">Athena</t>
  </si>
  <si>
    <t xml:space="preserve">Romain Gavras</t>
  </si>
  <si>
    <t xml:space="preserve">Banlieue/long-take; politics</t>
  </si>
  <si>
    <t xml:space="preserve">C'mon C'mon</t>
  </si>
  <si>
    <t xml:space="preserve">Mills; care/listening</t>
  </si>
  <si>
    <t xml:space="preserve">Cairo Conspiracy</t>
  </si>
  <si>
    <t xml:space="preserve">Tarik Saleh</t>
  </si>
  <si>
    <t xml:space="preserve">Sweden/Egypt</t>
  </si>
  <si>
    <t xml:space="preserve">Institution/faith thriller</t>
  </si>
  <si>
    <t xml:space="preserve">Climax</t>
  </si>
  <si>
    <t xml:space="preserve">Gaspar Noe</t>
  </si>
  <si>
    <t xml:space="preserve">Body/dance/dread</t>
  </si>
  <si>
    <t xml:space="preserve">Columbus</t>
  </si>
  <si>
    <t xml:space="preserve">Architecture/grief; form</t>
  </si>
  <si>
    <t xml:space="preserve">Dahomey</t>
  </si>
  <si>
    <t xml:space="preserve">Mati Diop</t>
  </si>
  <si>
    <t xml:space="preserve">France/Senegal</t>
  </si>
  <si>
    <t xml:space="preserve">Berlinale 2024 Golden Bear; Diop (Atlantics in)</t>
  </si>
  <si>
    <t xml:space="preserve">Do Not Expect Too Much from the End of the World</t>
  </si>
  <si>
    <t xml:space="preserve">Radu Jude</t>
  </si>
  <si>
    <t xml:space="preserve">Romania</t>
  </si>
  <si>
    <t xml:space="preserve">Labor/media satire; form</t>
  </si>
  <si>
    <t xml:space="preserve">Enter the Void</t>
  </si>
  <si>
    <t xml:space="preserve">POV/afterlife; form</t>
  </si>
  <si>
    <t xml:space="preserve">Four Daughters</t>
  </si>
  <si>
    <t xml:space="preserve">Doc-hybrid; performance/memory</t>
  </si>
  <si>
    <t xml:space="preserve">His House</t>
  </si>
  <si>
    <t xml:space="preserve">Remi Weekes</t>
  </si>
  <si>
    <t xml:space="preserve">Refugee horror; allegory</t>
  </si>
  <si>
    <t xml:space="preserve">Holy Spider</t>
  </si>
  <si>
    <t xml:space="preserve">Ali Abbasi</t>
  </si>
  <si>
    <t xml:space="preserve">Iran/Denmark</t>
  </si>
  <si>
    <t xml:space="preserve">Abbasi (Border in); gender/violence</t>
  </si>
  <si>
    <t xml:space="preserve">How to Have Sex</t>
  </si>
  <si>
    <t xml:space="preserve">Molly Manning Walker</t>
  </si>
  <si>
    <t xml:space="preserve">Consent/youth; Cannes UCR</t>
  </si>
  <si>
    <t xml:space="preserve">Janet Planet</t>
  </si>
  <si>
    <t xml:space="preserve">Annie Baker</t>
  </si>
  <si>
    <t xml:space="preserve">Childhood/time; playwright-film</t>
  </si>
  <si>
    <t xml:space="preserve">Like Father, Like Son</t>
  </si>
  <si>
    <t xml:space="preserve">Kore-eda; nature/nurture</t>
  </si>
  <si>
    <t xml:space="preserve">Living</t>
  </si>
  <si>
    <t xml:space="preserve">Oliver Hermanus</t>
  </si>
  <si>
    <t xml:space="preserve">Ikiru remake; mortality/bureaucracy</t>
  </si>
  <si>
    <t xml:space="preserve">Long Day's Journey Into Night</t>
  </si>
  <si>
    <t xml:space="preserve">Bi Gan</t>
  </si>
  <si>
    <t xml:space="preserve">Bi Gan (Cannes 2025); 3D long-take dream</t>
  </si>
  <si>
    <t xml:space="preserve">Memoir of a Snail</t>
  </si>
  <si>
    <t xml:space="preserve">Adam Elliot</t>
  </si>
  <si>
    <t xml:space="preserve">Claymation; melancholy</t>
  </si>
  <si>
    <t xml:space="preserve">No Bears</t>
  </si>
  <si>
    <t xml:space="preserve">Panahi; image/border</t>
  </si>
  <si>
    <t xml:space="preserve">Nope</t>
  </si>
  <si>
    <t xml:space="preserve">Jordan Peele</t>
  </si>
  <si>
    <t xml:space="preserve">Peele hub (Get Out/Us in); spectacle/gaze</t>
  </si>
  <si>
    <t xml:space="preserve">Our Little Sister</t>
  </si>
  <si>
    <t xml:space="preserve">Kore-eda; sisters/seasons</t>
  </si>
  <si>
    <t xml:space="preserve">Passages</t>
  </si>
  <si>
    <t xml:space="preserve">Ira Sachs</t>
  </si>
  <si>
    <t xml:space="preserve">Desire/triangle; Sachs</t>
  </si>
  <si>
    <t xml:space="preserve">Pieces of a Woman</t>
  </si>
  <si>
    <t xml:space="preserve">Kornel Mundruczo</t>
  </si>
  <si>
    <t xml:space="preserve">Grief/long-take birth</t>
  </si>
  <si>
    <t xml:space="preserve">Quo Vadis, Aida?</t>
  </si>
  <si>
    <t xml:space="preserve">Jasmila Zbanic</t>
  </si>
  <si>
    <t xml:space="preserve">Bosnia</t>
  </si>
  <si>
    <t xml:space="preserve">Srebrenica; witness</t>
  </si>
  <si>
    <t xml:space="preserve">Robot Dreams</t>
  </si>
  <si>
    <t xml:space="preserve">Pablo Berger</t>
  </si>
  <si>
    <t xml:space="preserve">Animation; friendship/loss; no dialogue</t>
  </si>
  <si>
    <t xml:space="preserve">So Long, My Son</t>
  </si>
  <si>
    <t xml:space="preserve">Wang Xiaoshuai</t>
  </si>
  <si>
    <t xml:space="preserve">One-child policy; epic melodrama</t>
  </si>
  <si>
    <t xml:space="preserve">Society of the Snow</t>
  </si>
  <si>
    <t xml:space="preserve">J.A. Bayona</t>
  </si>
  <si>
    <t xml:space="preserve">Survival/ethics; Oscar nom</t>
  </si>
  <si>
    <t xml:space="preserve">Sound of Metal</t>
  </si>
  <si>
    <t xml:space="preserve">Darius Marder</t>
  </si>
  <si>
    <t xml:space="preserve">Deafness/sound; Chion-adjacent</t>
  </si>
  <si>
    <t xml:space="preserve">The Apprentice</t>
  </si>
  <si>
    <t xml:space="preserve">Abbasi; power/myth</t>
  </si>
  <si>
    <t xml:space="preserve">The Blue Caftan</t>
  </si>
  <si>
    <t xml:space="preserve">Maryam Touzani</t>
  </si>
  <si>
    <t xml:space="preserve">Morocco</t>
  </si>
  <si>
    <t xml:space="preserve">Queer/craft; Maghreb</t>
  </si>
  <si>
    <t xml:space="preserve">The Father</t>
  </si>
  <si>
    <t xml:space="preserve">Florian Zeller</t>
  </si>
  <si>
    <t xml:space="preserve">Dementia/form; performance</t>
  </si>
  <si>
    <t xml:space="preserve">The Settlers</t>
  </si>
  <si>
    <t xml:space="preserve">Felipe Galvez</t>
  </si>
  <si>
    <t xml:space="preserve">Colonial violence; Western</t>
  </si>
  <si>
    <t xml:space="preserve">The Teachers' Lounge</t>
  </si>
  <si>
    <t xml:space="preserve">Ilker Catak</t>
  </si>
  <si>
    <t xml:space="preserve">Institution/paranoia; Oscar nom</t>
  </si>
  <si>
    <t xml:space="preserve">The Wild Goose Lake</t>
  </si>
  <si>
    <t xml:space="preserve">Diao Yinan</t>
  </si>
  <si>
    <t xml:space="preserve">Neo-noir; neon/crime</t>
  </si>
  <si>
    <t xml:space="preserve">The Wonder</t>
  </si>
  <si>
    <t xml:space="preserve">Sebastian Lelio</t>
  </si>
  <si>
    <t xml:space="preserve">Ireland/UK</t>
  </si>
  <si>
    <t xml:space="preserve">Lelio (Gloria in); faith/body</t>
  </si>
  <si>
    <t xml:space="preserve">Totem</t>
  </si>
  <si>
    <t xml:space="preserve">Lila Aviles</t>
  </si>
  <si>
    <t xml:space="preserve">Child-POV; family/death</t>
  </si>
  <si>
    <t xml:space="preserve">Vortex</t>
  </si>
  <si>
    <t xml:space="preserve">Split-screen; aging/death</t>
  </si>
  <si>
    <t xml:space="preserve">Women Talking</t>
  </si>
  <si>
    <t xml:space="preserve">Sarah Polley</t>
  </si>
  <si>
    <t xml:space="preserve">Faith/feminism; talk-cinema</t>
  </si>
  <si>
    <t xml:space="preserve">A Silent Voice</t>
  </si>
  <si>
    <t xml:space="preserve">Naoko Yamada</t>
  </si>
  <si>
    <t xml:space="preserve">Anime; disability/bullying; high search</t>
  </si>
  <si>
    <t xml:space="preserve">Belle</t>
  </si>
  <si>
    <t xml:space="preserve">Mamoru Hosoda</t>
  </si>
  <si>
    <t xml:space="preserve">Hosoda; virtual/identity</t>
  </si>
  <si>
    <t xml:space="preserve">Blazing Saddles</t>
  </si>
  <si>
    <t xml:space="preserve">Mel Brooks</t>
  </si>
  <si>
    <t xml:space="preserve">Satire/race; Brooks</t>
  </si>
  <si>
    <t xml:space="preserve">Borat</t>
  </si>
  <si>
    <t xml:space="preserve">Larry Charles</t>
  </si>
  <si>
    <t xml:space="preserve">Satire/performance; ideology</t>
  </si>
  <si>
    <t xml:space="preserve">Citizenfour</t>
  </si>
  <si>
    <t xml:space="preserve">Laura Poitras</t>
  </si>
  <si>
    <t xml:space="preserve">2014</t>
  </si>
  <si>
    <t xml:space="preserve">Doc; surveillance/Snowden</t>
  </si>
  <si>
    <t xml:space="preserve">Enter the Dragon</t>
  </si>
  <si>
    <t xml:space="preserve">Robert Clouse</t>
  </si>
  <si>
    <t xml:space="preserve">Hong Kong/USA</t>
  </si>
  <si>
    <t xml:space="preserve">Bruce Lee; martial-arts icon; high search</t>
  </si>
  <si>
    <t xml:space="preserve">F for Fake</t>
  </si>
  <si>
    <t xml:space="preserve">France/Iran</t>
  </si>
  <si>
    <t xml:space="preserve">Essay-film; authorship/fakery</t>
  </si>
  <si>
    <t xml:space="preserve">Free Solo</t>
  </si>
  <si>
    <t xml:space="preserve">Elizabeth Chai Vasarhelyi</t>
  </si>
  <si>
    <t xml:space="preserve">Doc; risk/body; high search</t>
  </si>
  <si>
    <t xml:space="preserve">Hard Boiled</t>
  </si>
  <si>
    <t xml:space="preserve">John Woo</t>
  </si>
  <si>
    <t xml:space="preserve">Woo (Face/Off in); gun-fu canon</t>
  </si>
  <si>
    <t xml:space="preserve">Hero</t>
  </si>
  <si>
    <t xml:space="preserve">Wuxia spectacle; ideology debate; high search</t>
  </si>
  <si>
    <t xml:space="preserve">House of Flying Daggers</t>
  </si>
  <si>
    <t xml:space="preserve">Wuxia; color/romance</t>
  </si>
  <si>
    <t xml:space="preserve">Inside Out 2</t>
  </si>
  <si>
    <t xml:space="preserve">Kelsey Mann</t>
  </si>
  <si>
    <t xml:space="preserve">Pixar; emotion/adolescence; huge box office</t>
  </si>
  <si>
    <t xml:space="preserve">Ip Man</t>
  </si>
  <si>
    <t xml:space="preserve">Wilson Yip</t>
  </si>
  <si>
    <t xml:space="preserve">Martial-arts franchise; nationalism</t>
  </si>
  <si>
    <t xml:space="preserve">Labyrinth</t>
  </si>
  <si>
    <t xml:space="preserve">Jim Henson</t>
  </si>
  <si>
    <t xml:space="preserve">Cult fantasy; high search</t>
  </si>
  <si>
    <t xml:space="preserve">Life of Brian</t>
  </si>
  <si>
    <t xml:space="preserve">Terry Jones</t>
  </si>
  <si>
    <t xml:space="preserve">Satire/religion; high search</t>
  </si>
  <si>
    <t xml:space="preserve">Man on Wire</t>
  </si>
  <si>
    <t xml:space="preserve">James Marsh</t>
  </si>
  <si>
    <t xml:space="preserve">Doc; high search; risk/art</t>
  </si>
  <si>
    <t xml:space="preserve">Monty Python and the Holy Grail</t>
  </si>
  <si>
    <t xml:space="preserve">Terry Gilliam</t>
  </si>
  <si>
    <t xml:space="preserve">Gilliam is in; parody/form</t>
  </si>
  <si>
    <t xml:space="preserve">O.J.: Made in America</t>
  </si>
  <si>
    <t xml:space="preserve">Ezra Edelman</t>
  </si>
  <si>
    <t xml:space="preserve">Doc; race/celebrity/media</t>
  </si>
  <si>
    <t xml:space="preserve">Police Story</t>
  </si>
  <si>
    <t xml:space="preserve">Jackie Chan</t>
  </si>
  <si>
    <t xml:space="preserve">Chan stunt-canon; high search</t>
  </si>
  <si>
    <t xml:space="preserve">Searching for Sugar Man</t>
  </si>
  <si>
    <t xml:space="preserve">Malik Bendjelloul</t>
  </si>
  <si>
    <t xml:space="preserve">Sweden/UK</t>
  </si>
  <si>
    <t xml:space="preserve">Doc; myth/music</t>
  </si>
  <si>
    <t xml:space="preserve">Senna</t>
  </si>
  <si>
    <t xml:space="preserve">Asif Kapadia</t>
  </si>
  <si>
    <t xml:space="preserve">Doc; sport/icon</t>
  </si>
  <si>
    <t xml:space="preserve">Shaun of the Dead</t>
  </si>
  <si>
    <t xml:space="preserve">Edgar Wright</t>
  </si>
  <si>
    <t xml:space="preserve">Wright is a hub; genre-parody</t>
  </si>
  <si>
    <t xml:space="preserve">Stand by Me</t>
  </si>
  <si>
    <t xml:space="preserve">Rob Reiner</t>
  </si>
  <si>
    <t xml:space="preserve">Reiner (5 in); coming-of-age; high search</t>
  </si>
  <si>
    <t xml:space="preserve">Stories We Tell</t>
  </si>
  <si>
    <t xml:space="preserve">Canada</t>
  </si>
  <si>
    <t xml:space="preserve">Doc; memory/family/truth</t>
  </si>
  <si>
    <t xml:space="preserve">Summer of Soul</t>
  </si>
  <si>
    <t xml:space="preserve">Questlove</t>
  </si>
  <si>
    <t xml:space="preserve">Doc; music/erasure/archive</t>
  </si>
  <si>
    <t xml:space="preserve">Suzume</t>
  </si>
  <si>
    <t xml:space="preserve">Makoto Shinkai</t>
  </si>
  <si>
    <t xml:space="preserve">Shinkai; disaster/grief</t>
  </si>
  <si>
    <t xml:space="preserve">The Blues Brothers</t>
  </si>
  <si>
    <t xml:space="preserve">John Landis</t>
  </si>
  <si>
    <t xml:space="preserve">1980</t>
  </si>
  <si>
    <t xml:space="preserve">Landis is in; music/Americana</t>
  </si>
  <si>
    <t xml:space="preserve">The Killer</t>
  </si>
  <si>
    <t xml:space="preserve">Woo; heroic-bloodshed canon</t>
  </si>
  <si>
    <t xml:space="preserve">The NeverEnding Story</t>
  </si>
  <si>
    <t xml:space="preserve">Wolfgang Petersen</t>
  </si>
  <si>
    <t xml:space="preserve">Fantasy; childhood/story</t>
  </si>
  <si>
    <t xml:space="preserve">The Thin Blue Line</t>
  </si>
  <si>
    <t xml:space="preserve">Errol Morris</t>
  </si>
  <si>
    <t xml:space="preserve">1988</t>
  </si>
  <si>
    <t xml:space="preserve">Doc; truth/reenactment</t>
  </si>
  <si>
    <t xml:space="preserve">The Wild Robot</t>
  </si>
  <si>
    <t xml:space="preserve">Chris Sanders</t>
  </si>
  <si>
    <t xml:space="preserve">Animation; nature/care; 2024 hit</t>
  </si>
  <si>
    <t xml:space="preserve">Time Bandits</t>
  </si>
  <si>
    <t xml:space="preserve">Gilliam hub; history/fantasy</t>
  </si>
  <si>
    <t xml:space="preserve">Weathering with You</t>
  </si>
  <si>
    <t xml:space="preserve">Shinkai (Your Name in); climate/teen</t>
  </si>
  <si>
    <t xml:space="preserve">Willy Wonka &amp; the Chocolate Factory</t>
  </si>
  <si>
    <t xml:space="preserve">Mel Stuart</t>
  </si>
  <si>
    <t xml:space="preserve">Cult; morality fable; high search</t>
  </si>
  <si>
    <t xml:space="preserve">Wolf Children</t>
  </si>
  <si>
    <t xml:space="preserve">Hosoda; motherhood/folklore</t>
  </si>
  <si>
    <t xml:space="preserve">Young Frankenstein</t>
  </si>
  <si>
    <t xml:space="preserve">Parody canon; Brooks</t>
  </si>
  <si>
    <r>
      <rPr>
        <b val="true"/>
        <sz val="12"/>
        <color rgb="FF1F2A44"/>
        <rFont val="Noto Sans CJK SC"/>
        <family val="2"/>
      </rPr>
      <t xml:space="preserve">웨이브 </t>
    </r>
    <r>
      <rPr>
        <b val="true"/>
        <sz val="12"/>
        <color rgb="FF1F2A44"/>
        <rFont val="Arial"/>
        <family val="0"/>
        <charset val="1"/>
      </rPr>
      <t xml:space="preserve">× </t>
    </r>
    <r>
      <rPr>
        <b val="true"/>
        <sz val="12"/>
        <color rgb="FF1F2A44"/>
        <rFont val="Noto Sans CJK SC"/>
        <family val="2"/>
      </rPr>
      <t xml:space="preserve">바구니 분포 </t>
    </r>
    <r>
      <rPr>
        <b val="true"/>
        <sz val="12"/>
        <color rgb="FF1F2A44"/>
        <rFont val="Arial"/>
        <family val="0"/>
        <charset val="1"/>
      </rPr>
      <t xml:space="preserve">(Candidates </t>
    </r>
    <r>
      <rPr>
        <b val="true"/>
        <sz val="12"/>
        <color rgb="FF1F2A44"/>
        <rFont val="Noto Sans CJK SC"/>
        <family val="2"/>
      </rPr>
      <t xml:space="preserve">시트 실시간 집계</t>
    </r>
    <r>
      <rPr>
        <b val="true"/>
        <sz val="12"/>
        <color rgb="FF1F2A44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</si>
  <si>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정전 </t>
    </r>
    <r>
      <rPr>
        <b val="true"/>
        <sz val="10"/>
        <color rgb="FFFFFFFF"/>
        <rFont val="Arial"/>
        <family val="0"/>
        <charset val="1"/>
      </rPr>
      <t xml:space="preserve">backfill</t>
    </r>
  </si>
  <si>
    <r>
      <rPr>
        <b val="true"/>
        <sz val="10"/>
        <color rgb="FFFFFFFF"/>
        <rFont val="Noto Sans CJK SC"/>
        <family val="2"/>
      </rPr>
      <t xml:space="preserve">대중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장르</t>
    </r>
  </si>
  <si>
    <t xml:space="preserve">합계</t>
  </si>
  <si>
    <t xml:space="preserve">Wave 2</t>
  </si>
  <si>
    <t xml:space="preserve">Wave 3</t>
  </si>
  <si>
    <r>
      <rPr>
        <sz val="9"/>
        <color rgb="FF6B7280"/>
        <rFont val="Arial"/>
        <family val="0"/>
        <charset val="1"/>
      </rPr>
      <t xml:space="preserve">metatake_films_567.csv </t>
    </r>
    <r>
      <rPr>
        <sz val="9"/>
        <color rgb="FF6B7280"/>
        <rFont val="Noto Sans CJK SC"/>
        <family val="2"/>
      </rPr>
      <t xml:space="preserve">와 동일 스키마</t>
    </r>
    <r>
      <rPr>
        <sz val="9"/>
        <color rgb="FF6B7280"/>
        <rFont val="Arial"/>
        <family val="0"/>
        <charset val="1"/>
      </rPr>
      <t xml:space="preserve">. TMDB_ID</t>
    </r>
    <r>
      <rPr>
        <sz val="9"/>
        <color rgb="FF6B7280"/>
        <rFont val="Noto Sans CJK SC"/>
        <family val="2"/>
      </rPr>
      <t xml:space="preserve">는 </t>
    </r>
    <r>
      <rPr>
        <sz val="9"/>
        <color rgb="FF6B7280"/>
        <rFont val="Arial"/>
        <family val="0"/>
        <charset val="1"/>
      </rPr>
      <t xml:space="preserve">importer</t>
    </r>
    <r>
      <rPr>
        <sz val="9"/>
        <color rgb="FF6B7280"/>
        <rFont val="Noto Sans CJK SC"/>
        <family val="2"/>
      </rPr>
      <t xml:space="preserve">가 제목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감독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연도로 해소</t>
    </r>
    <r>
      <rPr>
        <sz val="9"/>
        <color rgb="FF6B7280"/>
        <rFont val="Arial"/>
        <family val="0"/>
        <charset val="1"/>
      </rPr>
      <t xml:space="preserve">. CSV: metatake_films_expansion_405.csv</t>
    </r>
  </si>
  <si>
    <t xml:space="preserve">Film_TMDB_ID</t>
  </si>
  <si>
    <t xml:space="preserve">Film_Title</t>
  </si>
  <si>
    <t xml:space="preserve">Film_Director_Name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</si>
</sst>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b val="true"/>
      <sz val="16"/>
      <color rgb="FF1F2A44"/>
      <name val="Noto Sans CJK SC"/>
      <family val="2"/>
    </font>
    <font>
      <sz val="9"/>
      <color rgb="FF6B7280"/>
      <name val="Noto Sans CJK SC"/>
      <family val="2"/>
    </font>
    <font>
      <sz val="9"/>
      <color rgb="FF6B7280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2"/>
      <color rgb="FF1F2A44"/>
      <name val="Noto Sans CJK SC"/>
      <family val="2"/>
    </font>
    <font>
      <b val="true"/>
      <sz val="12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E8EEF7"/>
        <bgColor rgb="FFEEF1F6"/>
      </patternFill>
    </fill>
    <fill>
      <patternFill patternType="solid">
        <fgColor rgb="FFEAF3EC"/>
        <bgColor rgb="FFEEF1F6"/>
      </patternFill>
    </fill>
    <fill>
      <patternFill patternType="solid">
        <fgColor rgb="FFFBF0E7"/>
        <bgColor rgb="FFEEF1F6"/>
      </patternFill>
    </fill>
    <fill>
      <patternFill patternType="solid">
        <fgColor rgb="FFEEF1F6"/>
        <bgColor rgb="FFE8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fgColor rgb="FFEAF3EC"/>
          <bgColor rgb="FF000000"/>
        </patternFill>
      </fill>
    </dxf>
    <dxf>
      <fill>
        <patternFill patternType="solid">
          <fgColor rgb="FFFBF0E7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0E7"/>
      <rgbColor rgb="FFEAF3EC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EEF1F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4"/>
  </cols>
  <sheetData>
    <row r="2" customFormat="false" ht="19.5" hidden="false" customHeight="true" outlineLevel="0" collapsed="false">
      <c r="B2" s="1" t="s">
        <v>0</v>
      </c>
      <c r="C2" s="1"/>
      <c r="D2" s="1"/>
    </row>
    <row r="3" customFormat="false" ht="19.5" hidden="false" customHeight="true" outlineLevel="0" collapsed="false">
      <c r="B3" s="2" t="s">
        <v>1</v>
      </c>
      <c r="C3" s="2"/>
      <c r="D3" s="2"/>
    </row>
    <row r="4" customFormat="false" ht="19.5" hidden="false" customHeight="true" outlineLevel="0" collapsed="false"/>
    <row r="5" customFormat="false" ht="19.5" hidden="false" customHeight="true" outlineLevel="0" collapsed="false">
      <c r="B5" s="3" t="s">
        <v>2</v>
      </c>
      <c r="C5" s="3"/>
      <c r="D5" s="3"/>
    </row>
    <row r="6" customFormat="false" ht="19.5" hidden="false" customHeight="true" outlineLevel="0" collapsed="false">
      <c r="B6" s="4" t="s">
        <v>3</v>
      </c>
      <c r="C6" s="5" t="s">
        <v>4</v>
      </c>
      <c r="D6" s="5"/>
    </row>
    <row r="7" customFormat="false" ht="19.5" hidden="false" customHeight="true" outlineLevel="0" collapsed="false">
      <c r="B7" s="4" t="s">
        <v>5</v>
      </c>
      <c r="C7" s="5" t="s">
        <v>6</v>
      </c>
      <c r="D7" s="5"/>
    </row>
    <row r="8" customFormat="false" ht="19.5" hidden="false" customHeight="true" outlineLevel="0" collapsed="false">
      <c r="B8" s="4" t="s">
        <v>7</v>
      </c>
      <c r="C8" s="6" t="s">
        <v>8</v>
      </c>
      <c r="D8" s="6"/>
    </row>
    <row r="9" customFormat="false" ht="19.5" hidden="false" customHeight="true" outlineLevel="0" collapsed="false"/>
    <row r="10" customFormat="false" ht="19.5" hidden="false" customHeight="true" outlineLevel="0" collapsed="false">
      <c r="B10" s="3" t="s">
        <v>9</v>
      </c>
      <c r="C10" s="3"/>
      <c r="D10" s="3"/>
    </row>
    <row r="11" customFormat="false" ht="19.5" hidden="false" customHeight="true" outlineLevel="0" collapsed="false">
      <c r="B11" s="4" t="s">
        <v>10</v>
      </c>
      <c r="C11" s="5" t="s">
        <v>11</v>
      </c>
      <c r="D11" s="5"/>
    </row>
    <row r="12" customFormat="false" ht="19.5" hidden="false" customHeight="true" outlineLevel="0" collapsed="false">
      <c r="B12" s="7" t="s">
        <v>12</v>
      </c>
      <c r="C12" s="6" t="s">
        <v>13</v>
      </c>
      <c r="D12" s="6"/>
    </row>
    <row r="13" customFormat="false" ht="19.5" hidden="false" customHeight="true" outlineLevel="0" collapsed="false">
      <c r="B13" s="4" t="s">
        <v>14</v>
      </c>
      <c r="C13" s="6" t="s">
        <v>15</v>
      </c>
      <c r="D13" s="6"/>
    </row>
    <row r="14" customFormat="false" ht="19.5" hidden="false" customHeight="true" outlineLevel="0" collapsed="false"/>
    <row r="15" customFormat="false" ht="19.5" hidden="false" customHeight="true" outlineLevel="0" collapsed="false">
      <c r="B15" s="3" t="s">
        <v>16</v>
      </c>
      <c r="C15" s="3"/>
      <c r="D15" s="3"/>
    </row>
    <row r="16" customFormat="false" ht="19.5" hidden="false" customHeight="true" outlineLevel="0" collapsed="false">
      <c r="B16" s="4" t="s">
        <v>17</v>
      </c>
      <c r="C16" s="5" t="s">
        <v>18</v>
      </c>
      <c r="D16" s="5"/>
    </row>
    <row r="17" customFormat="false" ht="19.5" hidden="false" customHeight="true" outlineLevel="0" collapsed="false">
      <c r="B17" s="4" t="s">
        <v>19</v>
      </c>
      <c r="C17" s="6" t="s">
        <v>20</v>
      </c>
      <c r="D17" s="6"/>
    </row>
    <row r="18" customFormat="false" ht="19.5" hidden="false" customHeight="true" outlineLevel="0" collapsed="false">
      <c r="B18" s="4" t="s">
        <v>21</v>
      </c>
      <c r="C18" s="6" t="s">
        <v>22</v>
      </c>
      <c r="D18" s="6"/>
    </row>
    <row r="19" customFormat="false" ht="19.5" hidden="false" customHeight="true" outlineLevel="0" collapsed="false"/>
    <row r="20" customFormat="false" ht="19.5" hidden="false" customHeight="true" outlineLevel="0" collapsed="false">
      <c r="B20" s="8" t="s">
        <v>23</v>
      </c>
      <c r="C20" s="8"/>
      <c r="D20" s="8"/>
    </row>
    <row r="21" customFormat="false" ht="19.5" hidden="false" customHeight="true" outlineLevel="0" collapsed="false">
      <c r="B21" s="4" t="s">
        <v>24</v>
      </c>
      <c r="C21" s="5" t="s">
        <v>25</v>
      </c>
      <c r="D21" s="5"/>
    </row>
    <row r="22" customFormat="false" ht="19.5" hidden="false" customHeight="true" outlineLevel="0" collapsed="false">
      <c r="B22" s="4" t="s">
        <v>26</v>
      </c>
      <c r="C22" s="5" t="s">
        <v>27</v>
      </c>
      <c r="D22" s="5"/>
    </row>
    <row r="23" customFormat="false" ht="19.5" hidden="false" customHeight="true" outlineLevel="0" collapsed="false">
      <c r="B23" s="4" t="s">
        <v>28</v>
      </c>
      <c r="C23" s="5" t="s">
        <v>29</v>
      </c>
      <c r="D23" s="5"/>
    </row>
    <row r="24" customFormat="false" ht="19.5" hidden="false" customHeight="true" outlineLevel="0" collapsed="false"/>
    <row r="25" customFormat="false" ht="19.5" hidden="false" customHeight="true" outlineLevel="0" collapsed="false">
      <c r="B25" s="8" t="s">
        <v>30</v>
      </c>
      <c r="C25" s="8"/>
      <c r="D25" s="8"/>
    </row>
    <row r="26" customFormat="false" ht="19.5" hidden="false" customHeight="true" outlineLevel="0" collapsed="false">
      <c r="B26" s="7" t="s">
        <v>31</v>
      </c>
      <c r="C26" s="6" t="s">
        <v>32</v>
      </c>
      <c r="D26" s="6"/>
    </row>
    <row r="27" customFormat="false" ht="19.5" hidden="false" customHeight="true" outlineLevel="0" collapsed="false">
      <c r="B27" s="7" t="s">
        <v>33</v>
      </c>
      <c r="C27" s="6" t="s">
        <v>34</v>
      </c>
      <c r="D27" s="6"/>
    </row>
    <row r="28" customFormat="false" ht="19.5" hidden="false" customHeight="true" outlineLevel="0" collapsed="false">
      <c r="B28" s="4" t="s">
        <v>35</v>
      </c>
      <c r="C28" s="5" t="s">
        <v>36</v>
      </c>
      <c r="D28" s="5"/>
    </row>
    <row r="29" customFormat="false" ht="19.5" hidden="false" customHeight="true" outlineLevel="0" collapsed="false"/>
    <row r="30" customFormat="false" ht="19.5" hidden="false" customHeight="true" outlineLevel="0" collapsed="false">
      <c r="B30" s="3" t="s">
        <v>37</v>
      </c>
      <c r="C30" s="3"/>
      <c r="D30" s="3"/>
    </row>
    <row r="31" customFormat="false" ht="19.5" hidden="false" customHeight="true" outlineLevel="0" collapsed="false">
      <c r="B31" s="7" t="s">
        <v>38</v>
      </c>
      <c r="C31" s="6" t="s">
        <v>39</v>
      </c>
      <c r="D31" s="6"/>
    </row>
    <row r="32" customFormat="false" ht="19.5" hidden="false" customHeight="true" outlineLevel="0" collapsed="false">
      <c r="B32" s="7" t="s">
        <v>40</v>
      </c>
      <c r="C32" s="5" t="s">
        <v>41</v>
      </c>
      <c r="D32" s="5"/>
    </row>
    <row r="33" customFormat="false" ht="19.5" hidden="false" customHeight="true" outlineLevel="0" collapsed="false">
      <c r="B33" s="7" t="s">
        <v>42</v>
      </c>
      <c r="C33" s="5" t="s">
        <v>43</v>
      </c>
      <c r="D33" s="5"/>
    </row>
    <row r="34" customFormat="false" ht="19.5" hidden="false" customHeight="true" outlineLevel="0" collapsed="false"/>
  </sheetData>
  <mergeCells count="26">
    <mergeCell ref="B2:D2"/>
    <mergeCell ref="B3:D3"/>
    <mergeCell ref="B5:D5"/>
    <mergeCell ref="C6:D6"/>
    <mergeCell ref="C7:D7"/>
    <mergeCell ref="C8:D8"/>
    <mergeCell ref="B10:D10"/>
    <mergeCell ref="C11:D11"/>
    <mergeCell ref="C12:D12"/>
    <mergeCell ref="C13:D13"/>
    <mergeCell ref="B15:D15"/>
    <mergeCell ref="C16:D16"/>
    <mergeCell ref="C17:D17"/>
    <mergeCell ref="C18:D18"/>
    <mergeCell ref="B20:D20"/>
    <mergeCell ref="C21:D21"/>
    <mergeCell ref="C22:D22"/>
    <mergeCell ref="C23:D23"/>
    <mergeCell ref="B25:D25"/>
    <mergeCell ref="C26:D26"/>
    <mergeCell ref="C27:D27"/>
    <mergeCell ref="C28:D28"/>
    <mergeCell ref="B30:D30"/>
    <mergeCell ref="C31:D31"/>
    <mergeCell ref="C32:D32"/>
    <mergeCell ref="C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9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</row>
    <row r="2" customFormat="false" ht="15" hidden="false" customHeight="false" outlineLevel="0" collapsed="false">
      <c r="A2" s="11" t="n">
        <v>1</v>
      </c>
      <c r="B2" s="12" t="s">
        <v>51</v>
      </c>
      <c r="C2" s="13" t="s">
        <v>52</v>
      </c>
      <c r="D2" s="13" t="s">
        <v>53</v>
      </c>
      <c r="E2" s="11" t="s">
        <v>54</v>
      </c>
      <c r="F2" s="13" t="s">
        <v>55</v>
      </c>
      <c r="G2" s="14" t="s">
        <v>56</v>
      </c>
    </row>
    <row r="3" customFormat="false" ht="15" hidden="false" customHeight="false" outlineLevel="0" collapsed="false">
      <c r="A3" s="11" t="n">
        <v>1</v>
      </c>
      <c r="B3" s="12" t="s">
        <v>51</v>
      </c>
      <c r="C3" s="13" t="s">
        <v>57</v>
      </c>
      <c r="D3" s="13" t="s">
        <v>58</v>
      </c>
      <c r="E3" s="11" t="s">
        <v>59</v>
      </c>
      <c r="F3" s="13" t="s">
        <v>60</v>
      </c>
      <c r="G3" s="14" t="s">
        <v>61</v>
      </c>
    </row>
    <row r="4" customFormat="false" ht="15" hidden="false" customHeight="false" outlineLevel="0" collapsed="false">
      <c r="A4" s="11" t="n">
        <v>1</v>
      </c>
      <c r="B4" s="12" t="s">
        <v>51</v>
      </c>
      <c r="C4" s="13" t="s">
        <v>62</v>
      </c>
      <c r="D4" s="13" t="s">
        <v>63</v>
      </c>
      <c r="E4" s="11" t="s">
        <v>64</v>
      </c>
      <c r="F4" s="13" t="s">
        <v>65</v>
      </c>
      <c r="G4" s="14" t="s">
        <v>66</v>
      </c>
    </row>
    <row r="5" customFormat="false" ht="15" hidden="false" customHeight="false" outlineLevel="0" collapsed="false">
      <c r="A5" s="11" t="n">
        <v>1</v>
      </c>
      <c r="B5" s="12" t="s">
        <v>51</v>
      </c>
      <c r="C5" s="13" t="s">
        <v>67</v>
      </c>
      <c r="D5" s="13" t="s">
        <v>58</v>
      </c>
      <c r="E5" s="11" t="s">
        <v>68</v>
      </c>
      <c r="F5" s="13" t="s">
        <v>69</v>
      </c>
      <c r="G5" s="14" t="s">
        <v>70</v>
      </c>
    </row>
    <row r="6" customFormat="false" ht="15" hidden="false" customHeight="false" outlineLevel="0" collapsed="false">
      <c r="A6" s="11" t="n">
        <v>1</v>
      </c>
      <c r="B6" s="12" t="s">
        <v>51</v>
      </c>
      <c r="C6" s="13" t="s">
        <v>71</v>
      </c>
      <c r="D6" s="13" t="s">
        <v>72</v>
      </c>
      <c r="E6" s="11" t="s">
        <v>73</v>
      </c>
      <c r="F6" s="13" t="s">
        <v>74</v>
      </c>
      <c r="G6" s="14" t="s">
        <v>75</v>
      </c>
    </row>
    <row r="7" customFormat="false" ht="15" hidden="false" customHeight="false" outlineLevel="0" collapsed="false">
      <c r="A7" s="11" t="n">
        <v>1</v>
      </c>
      <c r="B7" s="12" t="s">
        <v>51</v>
      </c>
      <c r="C7" s="13" t="s">
        <v>76</v>
      </c>
      <c r="D7" s="13" t="s">
        <v>77</v>
      </c>
      <c r="E7" s="11" t="s">
        <v>78</v>
      </c>
      <c r="F7" s="13" t="s">
        <v>55</v>
      </c>
      <c r="G7" s="14" t="s">
        <v>79</v>
      </c>
    </row>
    <row r="8" customFormat="false" ht="15" hidden="false" customHeight="false" outlineLevel="0" collapsed="false">
      <c r="A8" s="11" t="n">
        <v>1</v>
      </c>
      <c r="B8" s="12" t="s">
        <v>51</v>
      </c>
      <c r="C8" s="13" t="s">
        <v>80</v>
      </c>
      <c r="D8" s="13" t="s">
        <v>81</v>
      </c>
      <c r="E8" s="11" t="s">
        <v>73</v>
      </c>
      <c r="F8" s="13" t="s">
        <v>82</v>
      </c>
      <c r="G8" s="14" t="s">
        <v>83</v>
      </c>
    </row>
    <row r="9" customFormat="false" ht="15" hidden="false" customHeight="false" outlineLevel="0" collapsed="false">
      <c r="A9" s="11" t="n">
        <v>1</v>
      </c>
      <c r="B9" s="12" t="s">
        <v>51</v>
      </c>
      <c r="C9" s="13" t="s">
        <v>84</v>
      </c>
      <c r="D9" s="13" t="s">
        <v>58</v>
      </c>
      <c r="E9" s="11" t="s">
        <v>85</v>
      </c>
      <c r="F9" s="13" t="s">
        <v>69</v>
      </c>
      <c r="G9" s="14" t="s">
        <v>86</v>
      </c>
    </row>
    <row r="10" customFormat="false" ht="15" hidden="false" customHeight="false" outlineLevel="0" collapsed="false">
      <c r="A10" s="11" t="n">
        <v>1</v>
      </c>
      <c r="B10" s="12" t="s">
        <v>51</v>
      </c>
      <c r="C10" s="13" t="s">
        <v>87</v>
      </c>
      <c r="D10" s="13" t="s">
        <v>88</v>
      </c>
      <c r="E10" s="11" t="s">
        <v>89</v>
      </c>
      <c r="F10" s="13" t="s">
        <v>74</v>
      </c>
      <c r="G10" s="14" t="s">
        <v>90</v>
      </c>
    </row>
    <row r="11" customFormat="false" ht="15" hidden="false" customHeight="false" outlineLevel="0" collapsed="false">
      <c r="A11" s="11" t="n">
        <v>1</v>
      </c>
      <c r="B11" s="12" t="s">
        <v>51</v>
      </c>
      <c r="C11" s="13" t="s">
        <v>91</v>
      </c>
      <c r="D11" s="13" t="s">
        <v>92</v>
      </c>
      <c r="E11" s="11" t="s">
        <v>93</v>
      </c>
      <c r="F11" s="13" t="s">
        <v>65</v>
      </c>
      <c r="G11" s="14" t="s">
        <v>94</v>
      </c>
    </row>
    <row r="12" customFormat="false" ht="15" hidden="false" customHeight="false" outlineLevel="0" collapsed="false">
      <c r="A12" s="11" t="n">
        <v>1</v>
      </c>
      <c r="B12" s="12" t="s">
        <v>51</v>
      </c>
      <c r="C12" s="13" t="s">
        <v>95</v>
      </c>
      <c r="D12" s="13" t="s">
        <v>96</v>
      </c>
      <c r="E12" s="11" t="s">
        <v>97</v>
      </c>
      <c r="F12" s="13" t="s">
        <v>82</v>
      </c>
      <c r="G12" s="14" t="s">
        <v>98</v>
      </c>
    </row>
    <row r="13" customFormat="false" ht="15" hidden="false" customHeight="false" outlineLevel="0" collapsed="false">
      <c r="A13" s="11" t="n">
        <v>1</v>
      </c>
      <c r="B13" s="12" t="s">
        <v>51</v>
      </c>
      <c r="C13" s="13" t="s">
        <v>99</v>
      </c>
      <c r="D13" s="13" t="s">
        <v>100</v>
      </c>
      <c r="E13" s="11" t="s">
        <v>101</v>
      </c>
      <c r="F13" s="13" t="s">
        <v>55</v>
      </c>
      <c r="G13" s="14" t="s">
        <v>102</v>
      </c>
    </row>
    <row r="14" customFormat="false" ht="15" hidden="false" customHeight="false" outlineLevel="0" collapsed="false">
      <c r="A14" s="11" t="n">
        <v>1</v>
      </c>
      <c r="B14" s="12" t="s">
        <v>51</v>
      </c>
      <c r="C14" s="13" t="s">
        <v>103</v>
      </c>
      <c r="D14" s="13" t="s">
        <v>104</v>
      </c>
      <c r="E14" s="11" t="s">
        <v>105</v>
      </c>
      <c r="F14" s="13" t="s">
        <v>55</v>
      </c>
      <c r="G14" s="14" t="s">
        <v>106</v>
      </c>
    </row>
    <row r="15" customFormat="false" ht="15" hidden="false" customHeight="false" outlineLevel="0" collapsed="false">
      <c r="A15" s="11" t="n">
        <v>1</v>
      </c>
      <c r="B15" s="12" t="s">
        <v>51</v>
      </c>
      <c r="C15" s="13" t="s">
        <v>107</v>
      </c>
      <c r="D15" s="13" t="s">
        <v>108</v>
      </c>
      <c r="E15" s="11" t="s">
        <v>109</v>
      </c>
      <c r="F15" s="13" t="s">
        <v>55</v>
      </c>
      <c r="G15" s="14" t="s">
        <v>110</v>
      </c>
    </row>
    <row r="16" customFormat="false" ht="15" hidden="false" customHeight="false" outlineLevel="0" collapsed="false">
      <c r="A16" s="11" t="n">
        <v>1</v>
      </c>
      <c r="B16" s="12" t="s">
        <v>51</v>
      </c>
      <c r="C16" s="13" t="s">
        <v>111</v>
      </c>
      <c r="D16" s="13" t="s">
        <v>112</v>
      </c>
      <c r="E16" s="11" t="s">
        <v>113</v>
      </c>
      <c r="F16" s="13" t="s">
        <v>55</v>
      </c>
      <c r="G16" s="14" t="s">
        <v>114</v>
      </c>
    </row>
    <row r="17" customFormat="false" ht="15" hidden="false" customHeight="false" outlineLevel="0" collapsed="false">
      <c r="A17" s="11" t="n">
        <v>1</v>
      </c>
      <c r="B17" s="12" t="s">
        <v>51</v>
      </c>
      <c r="C17" s="13" t="s">
        <v>115</v>
      </c>
      <c r="D17" s="13" t="s">
        <v>116</v>
      </c>
      <c r="E17" s="11" t="s">
        <v>117</v>
      </c>
      <c r="F17" s="13" t="s">
        <v>55</v>
      </c>
      <c r="G17" s="14" t="s">
        <v>118</v>
      </c>
    </row>
    <row r="18" customFormat="false" ht="15" hidden="false" customHeight="false" outlineLevel="0" collapsed="false">
      <c r="A18" s="11" t="n">
        <v>1</v>
      </c>
      <c r="B18" s="12" t="s">
        <v>51</v>
      </c>
      <c r="C18" s="13" t="s">
        <v>119</v>
      </c>
      <c r="D18" s="13" t="s">
        <v>58</v>
      </c>
      <c r="E18" s="11" t="s">
        <v>120</v>
      </c>
      <c r="F18" s="13" t="s">
        <v>60</v>
      </c>
      <c r="G18" s="14" t="s">
        <v>121</v>
      </c>
    </row>
    <row r="19" customFormat="false" ht="15" hidden="false" customHeight="false" outlineLevel="0" collapsed="false">
      <c r="A19" s="11" t="n">
        <v>1</v>
      </c>
      <c r="B19" s="12" t="s">
        <v>51</v>
      </c>
      <c r="C19" s="13" t="s">
        <v>122</v>
      </c>
      <c r="D19" s="13" t="s">
        <v>123</v>
      </c>
      <c r="E19" s="11" t="s">
        <v>124</v>
      </c>
      <c r="F19" s="13" t="s">
        <v>125</v>
      </c>
      <c r="G19" s="14" t="s">
        <v>126</v>
      </c>
    </row>
    <row r="20" customFormat="false" ht="15" hidden="false" customHeight="false" outlineLevel="0" collapsed="false">
      <c r="A20" s="11" t="n">
        <v>1</v>
      </c>
      <c r="B20" s="12" t="s">
        <v>51</v>
      </c>
      <c r="C20" s="13" t="s">
        <v>127</v>
      </c>
      <c r="D20" s="13" t="s">
        <v>128</v>
      </c>
      <c r="E20" s="11" t="s">
        <v>97</v>
      </c>
      <c r="F20" s="13" t="s">
        <v>65</v>
      </c>
      <c r="G20" s="14" t="s">
        <v>129</v>
      </c>
    </row>
    <row r="21" customFormat="false" ht="15" hidden="false" customHeight="false" outlineLevel="0" collapsed="false">
      <c r="A21" s="11" t="n">
        <v>1</v>
      </c>
      <c r="B21" s="12" t="s">
        <v>51</v>
      </c>
      <c r="C21" s="13" t="s">
        <v>130</v>
      </c>
      <c r="D21" s="13" t="s">
        <v>63</v>
      </c>
      <c r="E21" s="11" t="s">
        <v>97</v>
      </c>
      <c r="F21" s="13" t="s">
        <v>65</v>
      </c>
      <c r="G21" s="14" t="s">
        <v>131</v>
      </c>
    </row>
    <row r="22" customFormat="false" ht="15" hidden="false" customHeight="false" outlineLevel="0" collapsed="false">
      <c r="A22" s="11" t="n">
        <v>1</v>
      </c>
      <c r="B22" s="12" t="s">
        <v>51</v>
      </c>
      <c r="C22" s="13" t="s">
        <v>132</v>
      </c>
      <c r="D22" s="13" t="s">
        <v>133</v>
      </c>
      <c r="E22" s="11" t="s">
        <v>134</v>
      </c>
      <c r="F22" s="13" t="s">
        <v>69</v>
      </c>
      <c r="G22" s="14" t="s">
        <v>135</v>
      </c>
    </row>
    <row r="23" customFormat="false" ht="15" hidden="false" customHeight="false" outlineLevel="0" collapsed="false">
      <c r="A23" s="11" t="n">
        <v>1</v>
      </c>
      <c r="B23" s="12" t="s">
        <v>51</v>
      </c>
      <c r="C23" s="13" t="s">
        <v>136</v>
      </c>
      <c r="D23" s="13" t="s">
        <v>137</v>
      </c>
      <c r="E23" s="11" t="s">
        <v>113</v>
      </c>
      <c r="F23" s="13" t="s">
        <v>138</v>
      </c>
      <c r="G23" s="14" t="s">
        <v>139</v>
      </c>
    </row>
    <row r="24" customFormat="false" ht="15" hidden="false" customHeight="false" outlineLevel="0" collapsed="false">
      <c r="A24" s="11" t="n">
        <v>1</v>
      </c>
      <c r="B24" s="12" t="s">
        <v>51</v>
      </c>
      <c r="C24" s="13" t="s">
        <v>140</v>
      </c>
      <c r="D24" s="13" t="s">
        <v>137</v>
      </c>
      <c r="E24" s="11" t="s">
        <v>141</v>
      </c>
      <c r="F24" s="13" t="s">
        <v>138</v>
      </c>
      <c r="G24" s="14" t="s">
        <v>142</v>
      </c>
    </row>
    <row r="25" customFormat="false" ht="15" hidden="false" customHeight="false" outlineLevel="0" collapsed="false">
      <c r="A25" s="11" t="n">
        <v>1</v>
      </c>
      <c r="B25" s="12" t="s">
        <v>51</v>
      </c>
      <c r="C25" s="13" t="s">
        <v>143</v>
      </c>
      <c r="D25" s="13" t="s">
        <v>72</v>
      </c>
      <c r="E25" s="11" t="s">
        <v>85</v>
      </c>
      <c r="F25" s="13" t="s">
        <v>74</v>
      </c>
      <c r="G25" s="14" t="s">
        <v>144</v>
      </c>
    </row>
    <row r="26" customFormat="false" ht="15" hidden="false" customHeight="false" outlineLevel="0" collapsed="false">
      <c r="A26" s="11" t="n">
        <v>1</v>
      </c>
      <c r="B26" s="12" t="s">
        <v>51</v>
      </c>
      <c r="C26" s="13" t="s">
        <v>145</v>
      </c>
      <c r="D26" s="13" t="s">
        <v>112</v>
      </c>
      <c r="E26" s="11" t="s">
        <v>146</v>
      </c>
      <c r="F26" s="13" t="s">
        <v>55</v>
      </c>
      <c r="G26" s="14" t="s">
        <v>147</v>
      </c>
    </row>
    <row r="27" customFormat="false" ht="15" hidden="false" customHeight="false" outlineLevel="0" collapsed="false">
      <c r="A27" s="11" t="n">
        <v>1</v>
      </c>
      <c r="B27" s="12" t="s">
        <v>51</v>
      </c>
      <c r="C27" s="13" t="s">
        <v>148</v>
      </c>
      <c r="D27" s="13" t="s">
        <v>149</v>
      </c>
      <c r="E27" s="11" t="s">
        <v>150</v>
      </c>
      <c r="F27" s="13" t="s">
        <v>55</v>
      </c>
      <c r="G27" s="14" t="s">
        <v>151</v>
      </c>
    </row>
    <row r="28" customFormat="false" ht="15" hidden="false" customHeight="false" outlineLevel="0" collapsed="false">
      <c r="A28" s="11" t="n">
        <v>1</v>
      </c>
      <c r="B28" s="12" t="s">
        <v>51</v>
      </c>
      <c r="C28" s="13" t="s">
        <v>152</v>
      </c>
      <c r="D28" s="13" t="s">
        <v>153</v>
      </c>
      <c r="E28" s="11" t="s">
        <v>154</v>
      </c>
      <c r="F28" s="13" t="s">
        <v>138</v>
      </c>
      <c r="G28" s="14" t="s">
        <v>155</v>
      </c>
    </row>
    <row r="29" customFormat="false" ht="15" hidden="false" customHeight="false" outlineLevel="0" collapsed="false">
      <c r="A29" s="11" t="n">
        <v>1</v>
      </c>
      <c r="B29" s="12" t="s">
        <v>51</v>
      </c>
      <c r="C29" s="13" t="s">
        <v>156</v>
      </c>
      <c r="D29" s="13" t="s">
        <v>157</v>
      </c>
      <c r="E29" s="11" t="s">
        <v>158</v>
      </c>
      <c r="F29" s="13" t="s">
        <v>159</v>
      </c>
      <c r="G29" s="14" t="s">
        <v>160</v>
      </c>
    </row>
    <row r="30" customFormat="false" ht="15" hidden="false" customHeight="false" outlineLevel="0" collapsed="false">
      <c r="A30" s="11" t="n">
        <v>1</v>
      </c>
      <c r="B30" s="12" t="s">
        <v>51</v>
      </c>
      <c r="C30" s="13" t="s">
        <v>161</v>
      </c>
      <c r="D30" s="13" t="s">
        <v>162</v>
      </c>
      <c r="E30" s="11" t="s">
        <v>73</v>
      </c>
      <c r="F30" s="13" t="s">
        <v>163</v>
      </c>
      <c r="G30" s="14" t="s">
        <v>164</v>
      </c>
    </row>
    <row r="31" customFormat="false" ht="15" hidden="false" customHeight="false" outlineLevel="0" collapsed="false">
      <c r="A31" s="11" t="n">
        <v>1</v>
      </c>
      <c r="B31" s="12" t="s">
        <v>51</v>
      </c>
      <c r="C31" s="13" t="s">
        <v>165</v>
      </c>
      <c r="D31" s="13" t="s">
        <v>81</v>
      </c>
      <c r="E31" s="11" t="s">
        <v>150</v>
      </c>
      <c r="F31" s="13" t="s">
        <v>82</v>
      </c>
      <c r="G31" s="14" t="s">
        <v>166</v>
      </c>
    </row>
    <row r="32" customFormat="false" ht="15" hidden="false" customHeight="false" outlineLevel="0" collapsed="false">
      <c r="A32" s="11" t="n">
        <v>1</v>
      </c>
      <c r="B32" s="12" t="s">
        <v>51</v>
      </c>
      <c r="C32" s="13" t="s">
        <v>167</v>
      </c>
      <c r="D32" s="13" t="s">
        <v>149</v>
      </c>
      <c r="E32" s="11" t="s">
        <v>97</v>
      </c>
      <c r="F32" s="13" t="s">
        <v>55</v>
      </c>
      <c r="G32" s="14" t="s">
        <v>168</v>
      </c>
    </row>
    <row r="33" customFormat="false" ht="15" hidden="false" customHeight="false" outlineLevel="0" collapsed="false">
      <c r="A33" s="11" t="n">
        <v>1</v>
      </c>
      <c r="B33" s="12" t="s">
        <v>51</v>
      </c>
      <c r="C33" s="13" t="s">
        <v>169</v>
      </c>
      <c r="D33" s="13" t="s">
        <v>123</v>
      </c>
      <c r="E33" s="11" t="s">
        <v>170</v>
      </c>
      <c r="F33" s="13" t="s">
        <v>125</v>
      </c>
      <c r="G33" s="14" t="s">
        <v>171</v>
      </c>
    </row>
    <row r="34" customFormat="false" ht="15" hidden="false" customHeight="false" outlineLevel="0" collapsed="false">
      <c r="A34" s="11" t="n">
        <v>1</v>
      </c>
      <c r="B34" s="12" t="s">
        <v>51</v>
      </c>
      <c r="C34" s="13" t="s">
        <v>172</v>
      </c>
      <c r="D34" s="13" t="s">
        <v>149</v>
      </c>
      <c r="E34" s="11" t="s">
        <v>173</v>
      </c>
      <c r="F34" s="13" t="s">
        <v>55</v>
      </c>
      <c r="G34" s="14" t="s">
        <v>174</v>
      </c>
    </row>
    <row r="35" customFormat="false" ht="15" hidden="false" customHeight="false" outlineLevel="0" collapsed="false">
      <c r="A35" s="11" t="n">
        <v>1</v>
      </c>
      <c r="B35" s="12" t="s">
        <v>51</v>
      </c>
      <c r="C35" s="13" t="s">
        <v>175</v>
      </c>
      <c r="D35" s="13" t="s">
        <v>123</v>
      </c>
      <c r="E35" s="11" t="s">
        <v>173</v>
      </c>
      <c r="F35" s="13" t="s">
        <v>125</v>
      </c>
      <c r="G35" s="14" t="s">
        <v>176</v>
      </c>
    </row>
    <row r="36" customFormat="false" ht="15" hidden="false" customHeight="false" outlineLevel="0" collapsed="false">
      <c r="A36" s="11" t="n">
        <v>1</v>
      </c>
      <c r="B36" s="12" t="s">
        <v>51</v>
      </c>
      <c r="C36" s="13" t="s">
        <v>177</v>
      </c>
      <c r="D36" s="13" t="s">
        <v>178</v>
      </c>
      <c r="E36" s="11" t="s">
        <v>124</v>
      </c>
      <c r="F36" s="13" t="s">
        <v>55</v>
      </c>
      <c r="G36" s="14" t="s">
        <v>179</v>
      </c>
    </row>
    <row r="37" customFormat="false" ht="15" hidden="false" customHeight="false" outlineLevel="0" collapsed="false">
      <c r="A37" s="11" t="n">
        <v>1</v>
      </c>
      <c r="B37" s="12" t="s">
        <v>51</v>
      </c>
      <c r="C37" s="13" t="s">
        <v>180</v>
      </c>
      <c r="D37" s="13" t="s">
        <v>72</v>
      </c>
      <c r="E37" s="11" t="s">
        <v>181</v>
      </c>
      <c r="F37" s="13" t="s">
        <v>74</v>
      </c>
      <c r="G37" s="14" t="s">
        <v>182</v>
      </c>
    </row>
    <row r="38" customFormat="false" ht="15" hidden="false" customHeight="false" outlineLevel="0" collapsed="false">
      <c r="A38" s="11" t="n">
        <v>1</v>
      </c>
      <c r="B38" s="12" t="s">
        <v>51</v>
      </c>
      <c r="C38" s="13" t="s">
        <v>183</v>
      </c>
      <c r="D38" s="13" t="s">
        <v>116</v>
      </c>
      <c r="E38" s="11" t="s">
        <v>150</v>
      </c>
      <c r="F38" s="13" t="s">
        <v>55</v>
      </c>
      <c r="G38" s="14" t="s">
        <v>184</v>
      </c>
    </row>
    <row r="39" customFormat="false" ht="15" hidden="false" customHeight="false" outlineLevel="0" collapsed="false">
      <c r="A39" s="11" t="n">
        <v>1</v>
      </c>
      <c r="B39" s="12" t="s">
        <v>51</v>
      </c>
      <c r="C39" s="13" t="s">
        <v>185</v>
      </c>
      <c r="D39" s="13" t="s">
        <v>72</v>
      </c>
      <c r="E39" s="11" t="s">
        <v>78</v>
      </c>
      <c r="F39" s="13" t="s">
        <v>74</v>
      </c>
      <c r="G39" s="14" t="s">
        <v>186</v>
      </c>
    </row>
    <row r="40" customFormat="false" ht="15" hidden="false" customHeight="false" outlineLevel="0" collapsed="false">
      <c r="A40" s="11" t="n">
        <v>1</v>
      </c>
      <c r="B40" s="12" t="s">
        <v>51</v>
      </c>
      <c r="C40" s="13" t="s">
        <v>187</v>
      </c>
      <c r="D40" s="13" t="s">
        <v>153</v>
      </c>
      <c r="E40" s="11" t="s">
        <v>141</v>
      </c>
      <c r="F40" s="13" t="s">
        <v>55</v>
      </c>
      <c r="G40" s="14" t="s">
        <v>188</v>
      </c>
    </row>
    <row r="41" customFormat="false" ht="15" hidden="false" customHeight="false" outlineLevel="0" collapsed="false">
      <c r="A41" s="11" t="n">
        <v>1</v>
      </c>
      <c r="B41" s="12" t="s">
        <v>51</v>
      </c>
      <c r="C41" s="13" t="s">
        <v>189</v>
      </c>
      <c r="D41" s="13" t="s">
        <v>116</v>
      </c>
      <c r="E41" s="11" t="s">
        <v>170</v>
      </c>
      <c r="F41" s="13" t="s">
        <v>55</v>
      </c>
      <c r="G41" s="14" t="s">
        <v>190</v>
      </c>
    </row>
    <row r="42" customFormat="false" ht="15" hidden="false" customHeight="false" outlineLevel="0" collapsed="false">
      <c r="A42" s="11" t="n">
        <v>1</v>
      </c>
      <c r="B42" s="12" t="s">
        <v>51</v>
      </c>
      <c r="C42" s="13" t="s">
        <v>191</v>
      </c>
      <c r="D42" s="13" t="s">
        <v>192</v>
      </c>
      <c r="E42" s="11" t="s">
        <v>193</v>
      </c>
      <c r="F42" s="13" t="s">
        <v>55</v>
      </c>
      <c r="G42" s="14" t="s">
        <v>194</v>
      </c>
    </row>
    <row r="43" customFormat="false" ht="15" hidden="false" customHeight="false" outlineLevel="0" collapsed="false">
      <c r="A43" s="11" t="n">
        <v>1</v>
      </c>
      <c r="B43" s="12" t="s">
        <v>51</v>
      </c>
      <c r="C43" s="13" t="s">
        <v>195</v>
      </c>
      <c r="D43" s="13" t="s">
        <v>196</v>
      </c>
      <c r="E43" s="11" t="s">
        <v>150</v>
      </c>
      <c r="F43" s="13" t="s">
        <v>82</v>
      </c>
      <c r="G43" s="14" t="s">
        <v>197</v>
      </c>
    </row>
    <row r="44" customFormat="false" ht="15" hidden="false" customHeight="false" outlineLevel="0" collapsed="false">
      <c r="A44" s="11" t="n">
        <v>1</v>
      </c>
      <c r="B44" s="12" t="s">
        <v>51</v>
      </c>
      <c r="C44" s="13" t="s">
        <v>198</v>
      </c>
      <c r="D44" s="13" t="s">
        <v>199</v>
      </c>
      <c r="E44" s="11" t="s">
        <v>73</v>
      </c>
      <c r="F44" s="13" t="s">
        <v>200</v>
      </c>
      <c r="G44" s="14" t="s">
        <v>201</v>
      </c>
    </row>
    <row r="45" customFormat="false" ht="15" hidden="false" customHeight="false" outlineLevel="0" collapsed="false">
      <c r="A45" s="11" t="n">
        <v>1</v>
      </c>
      <c r="B45" s="12" t="s">
        <v>51</v>
      </c>
      <c r="C45" s="13" t="s">
        <v>202</v>
      </c>
      <c r="D45" s="13" t="s">
        <v>203</v>
      </c>
      <c r="E45" s="11" t="s">
        <v>204</v>
      </c>
      <c r="F45" s="13" t="s">
        <v>138</v>
      </c>
      <c r="G45" s="14" t="s">
        <v>205</v>
      </c>
    </row>
    <row r="46" customFormat="false" ht="15" hidden="false" customHeight="false" outlineLevel="0" collapsed="false">
      <c r="A46" s="11" t="n">
        <v>1</v>
      </c>
      <c r="B46" s="12" t="s">
        <v>51</v>
      </c>
      <c r="C46" s="13" t="s">
        <v>206</v>
      </c>
      <c r="D46" s="13" t="s">
        <v>207</v>
      </c>
      <c r="E46" s="11" t="s">
        <v>208</v>
      </c>
      <c r="F46" s="13" t="s">
        <v>65</v>
      </c>
      <c r="G46" s="14" t="s">
        <v>209</v>
      </c>
    </row>
    <row r="47" customFormat="false" ht="15" hidden="false" customHeight="false" outlineLevel="0" collapsed="false">
      <c r="A47" s="11" t="n">
        <v>1</v>
      </c>
      <c r="B47" s="12" t="s">
        <v>51</v>
      </c>
      <c r="C47" s="13" t="s">
        <v>210</v>
      </c>
      <c r="D47" s="13" t="s">
        <v>211</v>
      </c>
      <c r="E47" s="11" t="s">
        <v>212</v>
      </c>
      <c r="F47" s="13" t="s">
        <v>82</v>
      </c>
      <c r="G47" s="14" t="s">
        <v>213</v>
      </c>
    </row>
    <row r="48" customFormat="false" ht="15" hidden="false" customHeight="false" outlineLevel="0" collapsed="false">
      <c r="A48" s="11" t="n">
        <v>1</v>
      </c>
      <c r="B48" s="12" t="s">
        <v>51</v>
      </c>
      <c r="C48" s="13" t="s">
        <v>214</v>
      </c>
      <c r="D48" s="13" t="s">
        <v>215</v>
      </c>
      <c r="E48" s="11" t="s">
        <v>216</v>
      </c>
      <c r="F48" s="13" t="s">
        <v>82</v>
      </c>
      <c r="G48" s="14" t="s">
        <v>217</v>
      </c>
    </row>
    <row r="49" customFormat="false" ht="15" hidden="false" customHeight="false" outlineLevel="0" collapsed="false">
      <c r="A49" s="11" t="n">
        <v>1</v>
      </c>
      <c r="B49" s="12" t="s">
        <v>51</v>
      </c>
      <c r="C49" s="13" t="s">
        <v>218</v>
      </c>
      <c r="D49" s="13" t="s">
        <v>219</v>
      </c>
      <c r="E49" s="11" t="s">
        <v>220</v>
      </c>
      <c r="F49" s="13" t="s">
        <v>55</v>
      </c>
      <c r="G49" s="14" t="s">
        <v>221</v>
      </c>
    </row>
    <row r="50" customFormat="false" ht="15" hidden="false" customHeight="false" outlineLevel="0" collapsed="false">
      <c r="A50" s="11" t="n">
        <v>1</v>
      </c>
      <c r="B50" s="12" t="s">
        <v>51</v>
      </c>
      <c r="C50" s="13" t="s">
        <v>222</v>
      </c>
      <c r="D50" s="13" t="s">
        <v>162</v>
      </c>
      <c r="E50" s="11" t="s">
        <v>54</v>
      </c>
      <c r="F50" s="13" t="s">
        <v>163</v>
      </c>
      <c r="G50" s="14" t="s">
        <v>223</v>
      </c>
    </row>
    <row r="51" customFormat="false" ht="15" hidden="false" customHeight="false" outlineLevel="0" collapsed="false">
      <c r="A51" s="11" t="n">
        <v>1</v>
      </c>
      <c r="B51" s="12" t="s">
        <v>51</v>
      </c>
      <c r="C51" s="13" t="s">
        <v>224</v>
      </c>
      <c r="D51" s="13" t="s">
        <v>225</v>
      </c>
      <c r="E51" s="11" t="s">
        <v>226</v>
      </c>
      <c r="F51" s="13" t="s">
        <v>69</v>
      </c>
      <c r="G51" s="14" t="s">
        <v>227</v>
      </c>
    </row>
    <row r="52" customFormat="false" ht="15" hidden="false" customHeight="false" outlineLevel="0" collapsed="false">
      <c r="A52" s="11" t="n">
        <v>1</v>
      </c>
      <c r="B52" s="12" t="s">
        <v>51</v>
      </c>
      <c r="C52" s="13" t="s">
        <v>228</v>
      </c>
      <c r="D52" s="13" t="s">
        <v>229</v>
      </c>
      <c r="E52" s="11" t="s">
        <v>73</v>
      </c>
      <c r="F52" s="13" t="s">
        <v>125</v>
      </c>
      <c r="G52" s="14" t="s">
        <v>230</v>
      </c>
    </row>
    <row r="53" customFormat="false" ht="15" hidden="false" customHeight="false" outlineLevel="0" collapsed="false">
      <c r="A53" s="11" t="n">
        <v>1</v>
      </c>
      <c r="B53" s="12" t="s">
        <v>51</v>
      </c>
      <c r="C53" s="13" t="s">
        <v>231</v>
      </c>
      <c r="D53" s="13" t="s">
        <v>232</v>
      </c>
      <c r="E53" s="11" t="s">
        <v>233</v>
      </c>
      <c r="F53" s="13" t="s">
        <v>125</v>
      </c>
      <c r="G53" s="14" t="s">
        <v>234</v>
      </c>
    </row>
    <row r="54" customFormat="false" ht="15" hidden="false" customHeight="false" outlineLevel="0" collapsed="false">
      <c r="A54" s="11" t="n">
        <v>1</v>
      </c>
      <c r="B54" s="12" t="s">
        <v>51</v>
      </c>
      <c r="C54" s="13" t="s">
        <v>235</v>
      </c>
      <c r="D54" s="13" t="s">
        <v>108</v>
      </c>
      <c r="E54" s="11" t="s">
        <v>236</v>
      </c>
      <c r="F54" s="13" t="s">
        <v>55</v>
      </c>
      <c r="G54" s="14" t="s">
        <v>237</v>
      </c>
    </row>
    <row r="55" customFormat="false" ht="15" hidden="false" customHeight="false" outlineLevel="0" collapsed="false">
      <c r="A55" s="11" t="n">
        <v>1</v>
      </c>
      <c r="B55" s="12" t="s">
        <v>51</v>
      </c>
      <c r="C55" s="13" t="s">
        <v>238</v>
      </c>
      <c r="D55" s="13" t="s">
        <v>149</v>
      </c>
      <c r="E55" s="11" t="s">
        <v>236</v>
      </c>
      <c r="F55" s="13" t="s">
        <v>55</v>
      </c>
      <c r="G55" s="14" t="s">
        <v>239</v>
      </c>
    </row>
    <row r="56" customFormat="false" ht="15" hidden="false" customHeight="false" outlineLevel="0" collapsed="false">
      <c r="A56" s="11" t="n">
        <v>1</v>
      </c>
      <c r="B56" s="12" t="s">
        <v>51</v>
      </c>
      <c r="C56" s="13" t="s">
        <v>240</v>
      </c>
      <c r="D56" s="13" t="s">
        <v>241</v>
      </c>
      <c r="E56" s="11" t="s">
        <v>120</v>
      </c>
      <c r="F56" s="13" t="s">
        <v>125</v>
      </c>
      <c r="G56" s="14" t="s">
        <v>242</v>
      </c>
    </row>
    <row r="57" customFormat="false" ht="15" hidden="false" customHeight="false" outlineLevel="0" collapsed="false">
      <c r="A57" s="15" t="n">
        <v>1</v>
      </c>
      <c r="B57" s="16" t="s">
        <v>26</v>
      </c>
      <c r="C57" s="17" t="s">
        <v>243</v>
      </c>
      <c r="D57" s="17" t="s">
        <v>244</v>
      </c>
      <c r="E57" s="15" t="s">
        <v>245</v>
      </c>
      <c r="F57" s="17" t="s">
        <v>159</v>
      </c>
      <c r="G57" s="18" t="s">
        <v>246</v>
      </c>
    </row>
    <row r="58" customFormat="false" ht="15" hidden="false" customHeight="false" outlineLevel="0" collapsed="false">
      <c r="A58" s="15" t="n">
        <v>1</v>
      </c>
      <c r="B58" s="16" t="s">
        <v>26</v>
      </c>
      <c r="C58" s="17" t="s">
        <v>247</v>
      </c>
      <c r="D58" s="17" t="s">
        <v>248</v>
      </c>
      <c r="E58" s="15" t="s">
        <v>249</v>
      </c>
      <c r="F58" s="17" t="s">
        <v>69</v>
      </c>
      <c r="G58" s="18" t="s">
        <v>250</v>
      </c>
    </row>
    <row r="59" customFormat="false" ht="15" hidden="false" customHeight="false" outlineLevel="0" collapsed="false">
      <c r="A59" s="15" t="n">
        <v>1</v>
      </c>
      <c r="B59" s="16" t="s">
        <v>26</v>
      </c>
      <c r="C59" s="17" t="s">
        <v>251</v>
      </c>
      <c r="D59" s="17" t="s">
        <v>252</v>
      </c>
      <c r="E59" s="15" t="s">
        <v>249</v>
      </c>
      <c r="F59" s="17" t="s">
        <v>55</v>
      </c>
      <c r="G59" s="18" t="s">
        <v>253</v>
      </c>
    </row>
    <row r="60" customFormat="false" ht="15" hidden="false" customHeight="false" outlineLevel="0" collapsed="false">
      <c r="A60" s="15" t="n">
        <v>1</v>
      </c>
      <c r="B60" s="16" t="s">
        <v>26</v>
      </c>
      <c r="C60" s="17" t="s">
        <v>254</v>
      </c>
      <c r="D60" s="17" t="s">
        <v>255</v>
      </c>
      <c r="E60" s="15" t="s">
        <v>256</v>
      </c>
      <c r="F60" s="17" t="s">
        <v>257</v>
      </c>
      <c r="G60" s="18" t="s">
        <v>258</v>
      </c>
    </row>
    <row r="61" customFormat="false" ht="15" hidden="false" customHeight="false" outlineLevel="0" collapsed="false">
      <c r="A61" s="15" t="n">
        <v>1</v>
      </c>
      <c r="B61" s="16" t="s">
        <v>26</v>
      </c>
      <c r="C61" s="17" t="s">
        <v>259</v>
      </c>
      <c r="D61" s="17" t="s">
        <v>260</v>
      </c>
      <c r="E61" s="15" t="s">
        <v>249</v>
      </c>
      <c r="F61" s="17" t="s">
        <v>55</v>
      </c>
      <c r="G61" s="18" t="s">
        <v>261</v>
      </c>
    </row>
    <row r="62" customFormat="false" ht="15" hidden="false" customHeight="false" outlineLevel="0" collapsed="false">
      <c r="A62" s="15" t="n">
        <v>1</v>
      </c>
      <c r="B62" s="16" t="s">
        <v>26</v>
      </c>
      <c r="C62" s="17" t="s">
        <v>262</v>
      </c>
      <c r="D62" s="17" t="s">
        <v>263</v>
      </c>
      <c r="E62" s="15" t="s">
        <v>256</v>
      </c>
      <c r="F62" s="17" t="s">
        <v>264</v>
      </c>
      <c r="G62" s="18" t="s">
        <v>265</v>
      </c>
    </row>
    <row r="63" customFormat="false" ht="15" hidden="false" customHeight="false" outlineLevel="0" collapsed="false">
      <c r="A63" s="15" t="n">
        <v>1</v>
      </c>
      <c r="B63" s="16" t="s">
        <v>26</v>
      </c>
      <c r="C63" s="17" t="s">
        <v>266</v>
      </c>
      <c r="D63" s="17" t="s">
        <v>267</v>
      </c>
      <c r="E63" s="15" t="s">
        <v>256</v>
      </c>
      <c r="F63" s="17" t="s">
        <v>268</v>
      </c>
      <c r="G63" s="18" t="s">
        <v>269</v>
      </c>
    </row>
    <row r="64" customFormat="false" ht="15" hidden="false" customHeight="false" outlineLevel="0" collapsed="false">
      <c r="A64" s="15" t="n">
        <v>1</v>
      </c>
      <c r="B64" s="16" t="s">
        <v>26</v>
      </c>
      <c r="C64" s="17" t="s">
        <v>270</v>
      </c>
      <c r="D64" s="17" t="s">
        <v>271</v>
      </c>
      <c r="E64" s="15" t="s">
        <v>245</v>
      </c>
      <c r="F64" s="17" t="s">
        <v>272</v>
      </c>
      <c r="G64" s="18" t="s">
        <v>273</v>
      </c>
    </row>
    <row r="65" customFormat="false" ht="15" hidden="false" customHeight="false" outlineLevel="0" collapsed="false">
      <c r="A65" s="15" t="n">
        <v>1</v>
      </c>
      <c r="B65" s="16" t="s">
        <v>26</v>
      </c>
      <c r="C65" s="17" t="s">
        <v>274</v>
      </c>
      <c r="D65" s="17" t="s">
        <v>275</v>
      </c>
      <c r="E65" s="15" t="s">
        <v>256</v>
      </c>
      <c r="F65" s="17" t="s">
        <v>264</v>
      </c>
      <c r="G65" s="18" t="s">
        <v>276</v>
      </c>
    </row>
    <row r="66" customFormat="false" ht="15" hidden="false" customHeight="false" outlineLevel="0" collapsed="false">
      <c r="A66" s="15" t="n">
        <v>1</v>
      </c>
      <c r="B66" s="16" t="s">
        <v>26</v>
      </c>
      <c r="C66" s="17" t="s">
        <v>277</v>
      </c>
      <c r="D66" s="17" t="s">
        <v>278</v>
      </c>
      <c r="E66" s="15" t="s">
        <v>256</v>
      </c>
      <c r="F66" s="17" t="s">
        <v>279</v>
      </c>
      <c r="G66" s="18" t="s">
        <v>280</v>
      </c>
    </row>
    <row r="67" customFormat="false" ht="15" hidden="false" customHeight="false" outlineLevel="0" collapsed="false">
      <c r="A67" s="15" t="n">
        <v>1</v>
      </c>
      <c r="B67" s="16" t="s">
        <v>26</v>
      </c>
      <c r="C67" s="17" t="s">
        <v>281</v>
      </c>
      <c r="D67" s="17" t="s">
        <v>282</v>
      </c>
      <c r="E67" s="15" t="s">
        <v>249</v>
      </c>
      <c r="F67" s="17" t="s">
        <v>283</v>
      </c>
      <c r="G67" s="18" t="s">
        <v>284</v>
      </c>
    </row>
    <row r="68" customFormat="false" ht="15" hidden="false" customHeight="false" outlineLevel="0" collapsed="false">
      <c r="A68" s="15" t="n">
        <v>1</v>
      </c>
      <c r="B68" s="16" t="s">
        <v>26</v>
      </c>
      <c r="C68" s="17" t="s">
        <v>285</v>
      </c>
      <c r="D68" s="17" t="s">
        <v>286</v>
      </c>
      <c r="E68" s="15" t="s">
        <v>249</v>
      </c>
      <c r="F68" s="17" t="s">
        <v>125</v>
      </c>
      <c r="G68" s="18" t="s">
        <v>287</v>
      </c>
    </row>
    <row r="69" customFormat="false" ht="15" hidden="false" customHeight="false" outlineLevel="0" collapsed="false">
      <c r="A69" s="15" t="n">
        <v>1</v>
      </c>
      <c r="B69" s="16" t="s">
        <v>26</v>
      </c>
      <c r="C69" s="17" t="s">
        <v>288</v>
      </c>
      <c r="D69" s="17" t="s">
        <v>289</v>
      </c>
      <c r="E69" s="15" t="s">
        <v>249</v>
      </c>
      <c r="F69" s="17" t="s">
        <v>290</v>
      </c>
      <c r="G69" s="18" t="s">
        <v>291</v>
      </c>
    </row>
    <row r="70" customFormat="false" ht="15" hidden="false" customHeight="false" outlineLevel="0" collapsed="false">
      <c r="A70" s="15" t="n">
        <v>1</v>
      </c>
      <c r="B70" s="16" t="s">
        <v>26</v>
      </c>
      <c r="C70" s="17" t="s">
        <v>292</v>
      </c>
      <c r="D70" s="17" t="s">
        <v>293</v>
      </c>
      <c r="E70" s="15" t="s">
        <v>294</v>
      </c>
      <c r="F70" s="17" t="s">
        <v>55</v>
      </c>
      <c r="G70" s="18" t="s">
        <v>295</v>
      </c>
    </row>
    <row r="71" customFormat="false" ht="15" hidden="false" customHeight="false" outlineLevel="0" collapsed="false">
      <c r="A71" s="15" t="n">
        <v>1</v>
      </c>
      <c r="B71" s="16" t="s">
        <v>26</v>
      </c>
      <c r="C71" s="17" t="s">
        <v>296</v>
      </c>
      <c r="D71" s="17" t="s">
        <v>297</v>
      </c>
      <c r="E71" s="15" t="s">
        <v>245</v>
      </c>
      <c r="F71" s="17" t="s">
        <v>298</v>
      </c>
      <c r="G71" s="18" t="s">
        <v>299</v>
      </c>
    </row>
    <row r="72" customFormat="false" ht="15" hidden="false" customHeight="false" outlineLevel="0" collapsed="false">
      <c r="A72" s="15" t="n">
        <v>1</v>
      </c>
      <c r="B72" s="16" t="s">
        <v>26</v>
      </c>
      <c r="C72" s="17" t="s">
        <v>300</v>
      </c>
      <c r="D72" s="17" t="s">
        <v>301</v>
      </c>
      <c r="E72" s="15" t="s">
        <v>245</v>
      </c>
      <c r="F72" s="17" t="s">
        <v>302</v>
      </c>
      <c r="G72" s="18" t="s">
        <v>303</v>
      </c>
    </row>
    <row r="73" customFormat="false" ht="15" hidden="false" customHeight="false" outlineLevel="0" collapsed="false">
      <c r="A73" s="15" t="n">
        <v>1</v>
      </c>
      <c r="B73" s="16" t="s">
        <v>26</v>
      </c>
      <c r="C73" s="17" t="s">
        <v>304</v>
      </c>
      <c r="D73" s="17" t="s">
        <v>305</v>
      </c>
      <c r="E73" s="15" t="s">
        <v>306</v>
      </c>
      <c r="F73" s="17" t="s">
        <v>55</v>
      </c>
      <c r="G73" s="18" t="s">
        <v>307</v>
      </c>
    </row>
    <row r="74" customFormat="false" ht="15" hidden="false" customHeight="false" outlineLevel="0" collapsed="false">
      <c r="A74" s="15" t="n">
        <v>1</v>
      </c>
      <c r="B74" s="16" t="s">
        <v>26</v>
      </c>
      <c r="C74" s="17" t="s">
        <v>308</v>
      </c>
      <c r="D74" s="17" t="s">
        <v>309</v>
      </c>
      <c r="E74" s="15" t="s">
        <v>310</v>
      </c>
      <c r="F74" s="17" t="s">
        <v>311</v>
      </c>
      <c r="G74" s="18" t="s">
        <v>312</v>
      </c>
    </row>
    <row r="75" customFormat="false" ht="15" hidden="false" customHeight="false" outlineLevel="0" collapsed="false">
      <c r="A75" s="15" t="n">
        <v>1</v>
      </c>
      <c r="B75" s="16" t="s">
        <v>26</v>
      </c>
      <c r="C75" s="17" t="s">
        <v>313</v>
      </c>
      <c r="D75" s="17" t="s">
        <v>314</v>
      </c>
      <c r="E75" s="15" t="s">
        <v>249</v>
      </c>
      <c r="F75" s="17" t="s">
        <v>55</v>
      </c>
      <c r="G75" s="18" t="s">
        <v>315</v>
      </c>
    </row>
    <row r="76" customFormat="false" ht="15" hidden="false" customHeight="false" outlineLevel="0" collapsed="false">
      <c r="A76" s="15" t="n">
        <v>1</v>
      </c>
      <c r="B76" s="16" t="s">
        <v>26</v>
      </c>
      <c r="C76" s="17" t="s">
        <v>316</v>
      </c>
      <c r="D76" s="17" t="s">
        <v>317</v>
      </c>
      <c r="E76" s="15" t="s">
        <v>306</v>
      </c>
      <c r="F76" s="17" t="s">
        <v>55</v>
      </c>
      <c r="G76" s="18" t="s">
        <v>318</v>
      </c>
    </row>
    <row r="77" customFormat="false" ht="15" hidden="false" customHeight="false" outlineLevel="0" collapsed="false">
      <c r="A77" s="15" t="n">
        <v>1</v>
      </c>
      <c r="B77" s="16" t="s">
        <v>26</v>
      </c>
      <c r="C77" s="17" t="s">
        <v>319</v>
      </c>
      <c r="D77" s="17" t="s">
        <v>320</v>
      </c>
      <c r="E77" s="15" t="s">
        <v>249</v>
      </c>
      <c r="F77" s="17" t="s">
        <v>55</v>
      </c>
      <c r="G77" s="18" t="s">
        <v>321</v>
      </c>
    </row>
    <row r="78" customFormat="false" ht="15" hidden="false" customHeight="false" outlineLevel="0" collapsed="false">
      <c r="A78" s="15" t="n">
        <v>1</v>
      </c>
      <c r="B78" s="16" t="s">
        <v>26</v>
      </c>
      <c r="C78" s="17" t="s">
        <v>322</v>
      </c>
      <c r="D78" s="17" t="s">
        <v>323</v>
      </c>
      <c r="E78" s="15" t="s">
        <v>324</v>
      </c>
      <c r="F78" s="17" t="s">
        <v>325</v>
      </c>
      <c r="G78" s="18" t="s">
        <v>326</v>
      </c>
    </row>
    <row r="79" customFormat="false" ht="15" hidden="false" customHeight="false" outlineLevel="0" collapsed="false">
      <c r="A79" s="15" t="n">
        <v>1</v>
      </c>
      <c r="B79" s="16" t="s">
        <v>26</v>
      </c>
      <c r="C79" s="17" t="s">
        <v>327</v>
      </c>
      <c r="D79" s="17" t="s">
        <v>328</v>
      </c>
      <c r="E79" s="15" t="s">
        <v>306</v>
      </c>
      <c r="F79" s="17" t="s">
        <v>55</v>
      </c>
      <c r="G79" s="18" t="s">
        <v>329</v>
      </c>
    </row>
    <row r="80" customFormat="false" ht="15" hidden="false" customHeight="false" outlineLevel="0" collapsed="false">
      <c r="A80" s="15" t="n">
        <v>1</v>
      </c>
      <c r="B80" s="16" t="s">
        <v>26</v>
      </c>
      <c r="C80" s="17" t="s">
        <v>330</v>
      </c>
      <c r="D80" s="17" t="s">
        <v>263</v>
      </c>
      <c r="E80" s="15" t="s">
        <v>249</v>
      </c>
      <c r="F80" s="17" t="s">
        <v>125</v>
      </c>
      <c r="G80" s="18" t="s">
        <v>331</v>
      </c>
    </row>
    <row r="81" customFormat="false" ht="15" hidden="false" customHeight="false" outlineLevel="0" collapsed="false">
      <c r="A81" s="15" t="n">
        <v>1</v>
      </c>
      <c r="B81" s="16" t="s">
        <v>26</v>
      </c>
      <c r="C81" s="17" t="s">
        <v>332</v>
      </c>
      <c r="D81" s="17" t="s">
        <v>252</v>
      </c>
      <c r="E81" s="15" t="s">
        <v>333</v>
      </c>
      <c r="F81" s="17" t="s">
        <v>55</v>
      </c>
      <c r="G81" s="18" t="s">
        <v>334</v>
      </c>
    </row>
    <row r="82" customFormat="false" ht="15" hidden="false" customHeight="false" outlineLevel="0" collapsed="false">
      <c r="A82" s="15" t="n">
        <v>1</v>
      </c>
      <c r="B82" s="16" t="s">
        <v>26</v>
      </c>
      <c r="C82" s="17" t="s">
        <v>335</v>
      </c>
      <c r="D82" s="17" t="s">
        <v>336</v>
      </c>
      <c r="E82" s="15" t="s">
        <v>245</v>
      </c>
      <c r="F82" s="17" t="s">
        <v>55</v>
      </c>
      <c r="G82" s="18" t="s">
        <v>337</v>
      </c>
    </row>
    <row r="83" customFormat="false" ht="15" hidden="false" customHeight="false" outlineLevel="0" collapsed="false">
      <c r="A83" s="15" t="n">
        <v>1</v>
      </c>
      <c r="B83" s="16" t="s">
        <v>26</v>
      </c>
      <c r="C83" s="17" t="s">
        <v>338</v>
      </c>
      <c r="D83" s="17" t="s">
        <v>339</v>
      </c>
      <c r="E83" s="15" t="s">
        <v>340</v>
      </c>
      <c r="F83" s="17" t="s">
        <v>264</v>
      </c>
      <c r="G83" s="18" t="s">
        <v>341</v>
      </c>
    </row>
    <row r="84" customFormat="false" ht="15" hidden="false" customHeight="false" outlineLevel="0" collapsed="false">
      <c r="A84" s="15" t="n">
        <v>1</v>
      </c>
      <c r="B84" s="16" t="s">
        <v>26</v>
      </c>
      <c r="C84" s="17" t="s">
        <v>342</v>
      </c>
      <c r="D84" s="17" t="s">
        <v>343</v>
      </c>
      <c r="E84" s="15" t="s">
        <v>310</v>
      </c>
      <c r="F84" s="17" t="s">
        <v>55</v>
      </c>
      <c r="G84" s="18" t="s">
        <v>344</v>
      </c>
    </row>
    <row r="85" customFormat="false" ht="15" hidden="false" customHeight="false" outlineLevel="0" collapsed="false">
      <c r="A85" s="15" t="n">
        <v>1</v>
      </c>
      <c r="B85" s="16" t="s">
        <v>26</v>
      </c>
      <c r="C85" s="17" t="s">
        <v>345</v>
      </c>
      <c r="D85" s="17" t="s">
        <v>346</v>
      </c>
      <c r="E85" s="15" t="s">
        <v>324</v>
      </c>
      <c r="F85" s="17" t="s">
        <v>82</v>
      </c>
      <c r="G85" s="18" t="s">
        <v>347</v>
      </c>
    </row>
    <row r="86" customFormat="false" ht="15" hidden="false" customHeight="false" outlineLevel="0" collapsed="false">
      <c r="A86" s="15" t="n">
        <v>1</v>
      </c>
      <c r="B86" s="16" t="s">
        <v>26</v>
      </c>
      <c r="C86" s="17" t="s">
        <v>348</v>
      </c>
      <c r="D86" s="17" t="s">
        <v>349</v>
      </c>
      <c r="E86" s="15" t="s">
        <v>256</v>
      </c>
      <c r="F86" s="17" t="s">
        <v>350</v>
      </c>
      <c r="G86" s="18" t="s">
        <v>351</v>
      </c>
    </row>
    <row r="87" customFormat="false" ht="15" hidden="false" customHeight="false" outlineLevel="0" collapsed="false">
      <c r="A87" s="15" t="n">
        <v>1</v>
      </c>
      <c r="B87" s="16" t="s">
        <v>26</v>
      </c>
      <c r="C87" s="17" t="s">
        <v>352</v>
      </c>
      <c r="D87" s="17" t="s">
        <v>353</v>
      </c>
      <c r="E87" s="15" t="s">
        <v>256</v>
      </c>
      <c r="F87" s="17" t="s">
        <v>82</v>
      </c>
      <c r="G87" s="18" t="s">
        <v>354</v>
      </c>
    </row>
    <row r="88" customFormat="false" ht="15" hidden="false" customHeight="false" outlineLevel="0" collapsed="false">
      <c r="A88" s="15" t="n">
        <v>1</v>
      </c>
      <c r="B88" s="16" t="s">
        <v>26</v>
      </c>
      <c r="C88" s="17" t="s">
        <v>355</v>
      </c>
      <c r="D88" s="17" t="s">
        <v>356</v>
      </c>
      <c r="E88" s="15" t="s">
        <v>310</v>
      </c>
      <c r="F88" s="17" t="s">
        <v>357</v>
      </c>
      <c r="G88" s="18" t="s">
        <v>358</v>
      </c>
    </row>
    <row r="89" customFormat="false" ht="15" hidden="false" customHeight="false" outlineLevel="0" collapsed="false">
      <c r="A89" s="15" t="n">
        <v>1</v>
      </c>
      <c r="B89" s="16" t="s">
        <v>26</v>
      </c>
      <c r="C89" s="17" t="s">
        <v>359</v>
      </c>
      <c r="D89" s="17" t="s">
        <v>293</v>
      </c>
      <c r="E89" s="15" t="s">
        <v>256</v>
      </c>
      <c r="F89" s="17" t="s">
        <v>55</v>
      </c>
      <c r="G89" s="18" t="s">
        <v>360</v>
      </c>
    </row>
    <row r="90" customFormat="false" ht="15" hidden="false" customHeight="false" outlineLevel="0" collapsed="false">
      <c r="A90" s="15" t="n">
        <v>1</v>
      </c>
      <c r="B90" s="16" t="s">
        <v>26</v>
      </c>
      <c r="C90" s="17" t="s">
        <v>361</v>
      </c>
      <c r="D90" s="17" t="s">
        <v>362</v>
      </c>
      <c r="E90" s="15" t="s">
        <v>310</v>
      </c>
      <c r="F90" s="17" t="s">
        <v>55</v>
      </c>
      <c r="G90" s="18" t="s">
        <v>363</v>
      </c>
    </row>
    <row r="91" customFormat="false" ht="15" hidden="false" customHeight="false" outlineLevel="0" collapsed="false">
      <c r="A91" s="15" t="n">
        <v>1</v>
      </c>
      <c r="B91" s="16" t="s">
        <v>26</v>
      </c>
      <c r="C91" s="17" t="s">
        <v>364</v>
      </c>
      <c r="D91" s="17" t="s">
        <v>365</v>
      </c>
      <c r="E91" s="15" t="s">
        <v>249</v>
      </c>
      <c r="F91" s="17" t="s">
        <v>125</v>
      </c>
      <c r="G91" s="18" t="s">
        <v>366</v>
      </c>
    </row>
    <row r="92" customFormat="false" ht="15" hidden="false" customHeight="false" outlineLevel="0" collapsed="false">
      <c r="A92" s="15" t="n">
        <v>1</v>
      </c>
      <c r="B92" s="16" t="s">
        <v>26</v>
      </c>
      <c r="C92" s="17" t="s">
        <v>367</v>
      </c>
      <c r="D92" s="17" t="s">
        <v>368</v>
      </c>
      <c r="E92" s="15" t="s">
        <v>245</v>
      </c>
      <c r="F92" s="17" t="s">
        <v>55</v>
      </c>
      <c r="G92" s="18" t="s">
        <v>369</v>
      </c>
    </row>
    <row r="93" customFormat="false" ht="15" hidden="false" customHeight="false" outlineLevel="0" collapsed="false">
      <c r="A93" s="15" t="n">
        <v>1</v>
      </c>
      <c r="B93" s="16" t="s">
        <v>26</v>
      </c>
      <c r="C93" s="17" t="s">
        <v>370</v>
      </c>
      <c r="D93" s="17" t="s">
        <v>371</v>
      </c>
      <c r="E93" s="15" t="s">
        <v>294</v>
      </c>
      <c r="F93" s="17" t="s">
        <v>372</v>
      </c>
      <c r="G93" s="18" t="s">
        <v>373</v>
      </c>
    </row>
    <row r="94" customFormat="false" ht="15" hidden="false" customHeight="false" outlineLevel="0" collapsed="false">
      <c r="A94" s="15" t="n">
        <v>1</v>
      </c>
      <c r="B94" s="16" t="s">
        <v>26</v>
      </c>
      <c r="C94" s="17" t="s">
        <v>374</v>
      </c>
      <c r="D94" s="17" t="s">
        <v>252</v>
      </c>
      <c r="E94" s="15" t="s">
        <v>324</v>
      </c>
      <c r="F94" s="17" t="s">
        <v>55</v>
      </c>
      <c r="G94" s="18" t="s">
        <v>375</v>
      </c>
    </row>
    <row r="95" customFormat="false" ht="15" hidden="false" customHeight="false" outlineLevel="0" collapsed="false">
      <c r="A95" s="15" t="n">
        <v>1</v>
      </c>
      <c r="B95" s="16" t="s">
        <v>26</v>
      </c>
      <c r="C95" s="17" t="s">
        <v>376</v>
      </c>
      <c r="D95" s="17" t="s">
        <v>377</v>
      </c>
      <c r="E95" s="15" t="s">
        <v>324</v>
      </c>
      <c r="F95" s="17" t="s">
        <v>55</v>
      </c>
      <c r="G95" s="18" t="s">
        <v>378</v>
      </c>
    </row>
    <row r="96" customFormat="false" ht="15" hidden="false" customHeight="false" outlineLevel="0" collapsed="false">
      <c r="A96" s="15" t="n">
        <v>1</v>
      </c>
      <c r="B96" s="16" t="s">
        <v>26</v>
      </c>
      <c r="C96" s="17" t="s">
        <v>379</v>
      </c>
      <c r="D96" s="17" t="s">
        <v>380</v>
      </c>
      <c r="E96" s="15" t="s">
        <v>249</v>
      </c>
      <c r="F96" s="17" t="s">
        <v>55</v>
      </c>
      <c r="G96" s="18" t="s">
        <v>381</v>
      </c>
    </row>
    <row r="97" customFormat="false" ht="15" hidden="false" customHeight="false" outlineLevel="0" collapsed="false">
      <c r="A97" s="15" t="n">
        <v>1</v>
      </c>
      <c r="B97" s="16" t="s">
        <v>26</v>
      </c>
      <c r="C97" s="17" t="s">
        <v>382</v>
      </c>
      <c r="D97" s="17" t="s">
        <v>383</v>
      </c>
      <c r="E97" s="15" t="s">
        <v>324</v>
      </c>
      <c r="F97" s="17" t="s">
        <v>384</v>
      </c>
      <c r="G97" s="18" t="s">
        <v>385</v>
      </c>
    </row>
    <row r="98" customFormat="false" ht="15" hidden="false" customHeight="false" outlineLevel="0" collapsed="false">
      <c r="A98" s="15" t="n">
        <v>1</v>
      </c>
      <c r="B98" s="16" t="s">
        <v>26</v>
      </c>
      <c r="C98" s="17" t="s">
        <v>386</v>
      </c>
      <c r="D98" s="17" t="s">
        <v>387</v>
      </c>
      <c r="E98" s="15" t="s">
        <v>245</v>
      </c>
      <c r="F98" s="17" t="s">
        <v>388</v>
      </c>
      <c r="G98" s="18" t="s">
        <v>389</v>
      </c>
    </row>
    <row r="99" customFormat="false" ht="15" hidden="false" customHeight="false" outlineLevel="0" collapsed="false">
      <c r="A99" s="15" t="n">
        <v>1</v>
      </c>
      <c r="B99" s="16" t="s">
        <v>26</v>
      </c>
      <c r="C99" s="17" t="s">
        <v>390</v>
      </c>
      <c r="D99" s="17" t="s">
        <v>391</v>
      </c>
      <c r="E99" s="15" t="s">
        <v>306</v>
      </c>
      <c r="F99" s="17" t="s">
        <v>55</v>
      </c>
      <c r="G99" s="18" t="s">
        <v>392</v>
      </c>
    </row>
    <row r="100" customFormat="false" ht="15" hidden="false" customHeight="false" outlineLevel="0" collapsed="false">
      <c r="A100" s="15" t="n">
        <v>1</v>
      </c>
      <c r="B100" s="16" t="s">
        <v>26</v>
      </c>
      <c r="C100" s="17" t="s">
        <v>393</v>
      </c>
      <c r="D100" s="17" t="s">
        <v>394</v>
      </c>
      <c r="E100" s="15" t="s">
        <v>256</v>
      </c>
      <c r="F100" s="17" t="s">
        <v>55</v>
      </c>
      <c r="G100" s="18" t="s">
        <v>395</v>
      </c>
    </row>
    <row r="101" customFormat="false" ht="15" hidden="false" customHeight="false" outlineLevel="0" collapsed="false">
      <c r="A101" s="19" t="n">
        <v>1</v>
      </c>
      <c r="B101" s="20" t="s">
        <v>396</v>
      </c>
      <c r="C101" s="21" t="s">
        <v>397</v>
      </c>
      <c r="D101" s="21" t="s">
        <v>398</v>
      </c>
      <c r="E101" s="19" t="s">
        <v>399</v>
      </c>
      <c r="F101" s="21" t="s">
        <v>264</v>
      </c>
      <c r="G101" s="22" t="s">
        <v>400</v>
      </c>
    </row>
    <row r="102" customFormat="false" ht="15" hidden="false" customHeight="false" outlineLevel="0" collapsed="false">
      <c r="A102" s="19" t="n">
        <v>1</v>
      </c>
      <c r="B102" s="20" t="s">
        <v>396</v>
      </c>
      <c r="C102" s="21" t="s">
        <v>401</v>
      </c>
      <c r="D102" s="21" t="s">
        <v>402</v>
      </c>
      <c r="E102" s="19" t="s">
        <v>78</v>
      </c>
      <c r="F102" s="21" t="s">
        <v>55</v>
      </c>
      <c r="G102" s="22" t="s">
        <v>403</v>
      </c>
    </row>
    <row r="103" customFormat="false" ht="15" hidden="false" customHeight="false" outlineLevel="0" collapsed="false">
      <c r="A103" s="19" t="n">
        <v>1</v>
      </c>
      <c r="B103" s="20" t="s">
        <v>396</v>
      </c>
      <c r="C103" s="21" t="s">
        <v>404</v>
      </c>
      <c r="D103" s="21" t="s">
        <v>405</v>
      </c>
      <c r="E103" s="19" t="s">
        <v>406</v>
      </c>
      <c r="F103" s="21" t="s">
        <v>125</v>
      </c>
      <c r="G103" s="22" t="s">
        <v>407</v>
      </c>
    </row>
    <row r="104" customFormat="false" ht="15" hidden="false" customHeight="false" outlineLevel="0" collapsed="false">
      <c r="A104" s="19" t="n">
        <v>1</v>
      </c>
      <c r="B104" s="20" t="s">
        <v>396</v>
      </c>
      <c r="C104" s="21" t="s">
        <v>408</v>
      </c>
      <c r="D104" s="21" t="s">
        <v>409</v>
      </c>
      <c r="E104" s="19" t="s">
        <v>410</v>
      </c>
      <c r="F104" s="21" t="s">
        <v>55</v>
      </c>
      <c r="G104" s="22" t="s">
        <v>411</v>
      </c>
    </row>
    <row r="105" customFormat="false" ht="15" hidden="false" customHeight="false" outlineLevel="0" collapsed="false">
      <c r="A105" s="19" t="n">
        <v>1</v>
      </c>
      <c r="B105" s="20" t="s">
        <v>396</v>
      </c>
      <c r="C105" s="21" t="s">
        <v>412</v>
      </c>
      <c r="D105" s="21" t="s">
        <v>413</v>
      </c>
      <c r="E105" s="19" t="s">
        <v>414</v>
      </c>
      <c r="F105" s="21" t="s">
        <v>55</v>
      </c>
      <c r="G105" s="22" t="s">
        <v>415</v>
      </c>
    </row>
    <row r="106" customFormat="false" ht="15" hidden="false" customHeight="false" outlineLevel="0" collapsed="false">
      <c r="A106" s="19" t="n">
        <v>1</v>
      </c>
      <c r="B106" s="20" t="s">
        <v>396</v>
      </c>
      <c r="C106" s="21" t="s">
        <v>416</v>
      </c>
      <c r="D106" s="21" t="s">
        <v>417</v>
      </c>
      <c r="E106" s="19" t="s">
        <v>418</v>
      </c>
      <c r="F106" s="21" t="s">
        <v>125</v>
      </c>
      <c r="G106" s="22" t="s">
        <v>419</v>
      </c>
    </row>
    <row r="107" customFormat="false" ht="15" hidden="false" customHeight="false" outlineLevel="0" collapsed="false">
      <c r="A107" s="19" t="n">
        <v>1</v>
      </c>
      <c r="B107" s="20" t="s">
        <v>396</v>
      </c>
      <c r="C107" s="21" t="s">
        <v>420</v>
      </c>
      <c r="D107" s="21" t="s">
        <v>421</v>
      </c>
      <c r="E107" s="19" t="s">
        <v>422</v>
      </c>
      <c r="F107" s="21" t="s">
        <v>55</v>
      </c>
      <c r="G107" s="22" t="s">
        <v>423</v>
      </c>
    </row>
    <row r="108" customFormat="false" ht="15" hidden="false" customHeight="false" outlineLevel="0" collapsed="false">
      <c r="A108" s="19" t="n">
        <v>1</v>
      </c>
      <c r="B108" s="20" t="s">
        <v>396</v>
      </c>
      <c r="C108" s="21" t="s">
        <v>424</v>
      </c>
      <c r="D108" s="21" t="s">
        <v>425</v>
      </c>
      <c r="E108" s="19" t="s">
        <v>324</v>
      </c>
      <c r="F108" s="21" t="s">
        <v>55</v>
      </c>
      <c r="G108" s="22" t="s">
        <v>426</v>
      </c>
    </row>
    <row r="109" customFormat="false" ht="15" hidden="false" customHeight="false" outlineLevel="0" collapsed="false">
      <c r="A109" s="19" t="n">
        <v>1</v>
      </c>
      <c r="B109" s="20" t="s">
        <v>396</v>
      </c>
      <c r="C109" s="21" t="s">
        <v>427</v>
      </c>
      <c r="D109" s="21" t="s">
        <v>425</v>
      </c>
      <c r="E109" s="19" t="s">
        <v>245</v>
      </c>
      <c r="F109" s="21" t="s">
        <v>55</v>
      </c>
      <c r="G109" s="22" t="s">
        <v>428</v>
      </c>
    </row>
    <row r="110" customFormat="false" ht="15" hidden="false" customHeight="false" outlineLevel="0" collapsed="false">
      <c r="A110" s="19" t="n">
        <v>1</v>
      </c>
      <c r="B110" s="20" t="s">
        <v>396</v>
      </c>
      <c r="C110" s="21" t="s">
        <v>429</v>
      </c>
      <c r="D110" s="21" t="s">
        <v>398</v>
      </c>
      <c r="E110" s="19" t="s">
        <v>430</v>
      </c>
      <c r="F110" s="21" t="s">
        <v>264</v>
      </c>
      <c r="G110" s="22" t="s">
        <v>431</v>
      </c>
    </row>
    <row r="111" customFormat="false" ht="15" hidden="false" customHeight="false" outlineLevel="0" collapsed="false">
      <c r="A111" s="19" t="n">
        <v>1</v>
      </c>
      <c r="B111" s="20" t="s">
        <v>396</v>
      </c>
      <c r="C111" s="21" t="s">
        <v>432</v>
      </c>
      <c r="D111" s="21" t="s">
        <v>413</v>
      </c>
      <c r="E111" s="19" t="s">
        <v>433</v>
      </c>
      <c r="F111" s="21" t="s">
        <v>55</v>
      </c>
      <c r="G111" s="22" t="s">
        <v>434</v>
      </c>
    </row>
    <row r="112" customFormat="false" ht="15" hidden="false" customHeight="false" outlineLevel="0" collapsed="false">
      <c r="A112" s="19" t="n">
        <v>1</v>
      </c>
      <c r="B112" s="20" t="s">
        <v>396</v>
      </c>
      <c r="C112" s="21" t="s">
        <v>435</v>
      </c>
      <c r="D112" s="21" t="s">
        <v>413</v>
      </c>
      <c r="E112" s="19" t="s">
        <v>85</v>
      </c>
      <c r="F112" s="21" t="s">
        <v>55</v>
      </c>
      <c r="G112" s="22" t="s">
        <v>436</v>
      </c>
    </row>
    <row r="113" customFormat="false" ht="15" hidden="false" customHeight="false" outlineLevel="0" collapsed="false">
      <c r="A113" s="19" t="n">
        <v>1</v>
      </c>
      <c r="B113" s="20" t="s">
        <v>396</v>
      </c>
      <c r="C113" s="21" t="s">
        <v>437</v>
      </c>
      <c r="D113" s="21" t="s">
        <v>438</v>
      </c>
      <c r="E113" s="19" t="s">
        <v>245</v>
      </c>
      <c r="F113" s="21" t="s">
        <v>55</v>
      </c>
      <c r="G113" s="22" t="s">
        <v>439</v>
      </c>
    </row>
    <row r="114" customFormat="false" ht="15" hidden="false" customHeight="false" outlineLevel="0" collapsed="false">
      <c r="A114" s="19" t="n">
        <v>1</v>
      </c>
      <c r="B114" s="20" t="s">
        <v>396</v>
      </c>
      <c r="C114" s="21" t="s">
        <v>440</v>
      </c>
      <c r="D114" s="21" t="s">
        <v>441</v>
      </c>
      <c r="E114" s="19" t="s">
        <v>442</v>
      </c>
      <c r="F114" s="21" t="s">
        <v>443</v>
      </c>
      <c r="G114" s="22" t="s">
        <v>444</v>
      </c>
    </row>
    <row r="115" customFormat="false" ht="15" hidden="false" customHeight="false" outlineLevel="0" collapsed="false">
      <c r="A115" s="19" t="n">
        <v>1</v>
      </c>
      <c r="B115" s="20" t="s">
        <v>396</v>
      </c>
      <c r="C115" s="21" t="s">
        <v>445</v>
      </c>
      <c r="D115" s="21" t="s">
        <v>421</v>
      </c>
      <c r="E115" s="19" t="s">
        <v>59</v>
      </c>
      <c r="F115" s="21" t="s">
        <v>55</v>
      </c>
      <c r="G115" s="22" t="s">
        <v>446</v>
      </c>
    </row>
    <row r="116" customFormat="false" ht="15" hidden="false" customHeight="false" outlineLevel="0" collapsed="false">
      <c r="A116" s="19" t="n">
        <v>1</v>
      </c>
      <c r="B116" s="20" t="s">
        <v>396</v>
      </c>
      <c r="C116" s="21" t="s">
        <v>447</v>
      </c>
      <c r="D116" s="21" t="s">
        <v>448</v>
      </c>
      <c r="E116" s="19" t="s">
        <v>256</v>
      </c>
      <c r="F116" s="21" t="s">
        <v>55</v>
      </c>
      <c r="G116" s="22" t="s">
        <v>449</v>
      </c>
    </row>
    <row r="117" customFormat="false" ht="15" hidden="false" customHeight="false" outlineLevel="0" collapsed="false">
      <c r="A117" s="19" t="n">
        <v>1</v>
      </c>
      <c r="B117" s="20" t="s">
        <v>396</v>
      </c>
      <c r="C117" s="21" t="s">
        <v>450</v>
      </c>
      <c r="D117" s="21" t="s">
        <v>451</v>
      </c>
      <c r="E117" s="19" t="s">
        <v>59</v>
      </c>
      <c r="F117" s="21" t="s">
        <v>55</v>
      </c>
      <c r="G117" s="22" t="s">
        <v>452</v>
      </c>
    </row>
    <row r="118" customFormat="false" ht="15" hidden="false" customHeight="false" outlineLevel="0" collapsed="false">
      <c r="A118" s="19" t="n">
        <v>1</v>
      </c>
      <c r="B118" s="20" t="s">
        <v>396</v>
      </c>
      <c r="C118" s="21" t="s">
        <v>453</v>
      </c>
      <c r="D118" s="21" t="s">
        <v>454</v>
      </c>
      <c r="E118" s="19" t="s">
        <v>442</v>
      </c>
      <c r="F118" s="21" t="s">
        <v>455</v>
      </c>
      <c r="G118" s="22" t="s">
        <v>456</v>
      </c>
    </row>
    <row r="119" customFormat="false" ht="15" hidden="false" customHeight="false" outlineLevel="0" collapsed="false">
      <c r="A119" s="19" t="n">
        <v>1</v>
      </c>
      <c r="B119" s="20" t="s">
        <v>396</v>
      </c>
      <c r="C119" s="21" t="s">
        <v>457</v>
      </c>
      <c r="D119" s="21" t="s">
        <v>458</v>
      </c>
      <c r="E119" s="19" t="s">
        <v>459</v>
      </c>
      <c r="F119" s="21" t="s">
        <v>125</v>
      </c>
      <c r="G119" s="22" t="s">
        <v>460</v>
      </c>
    </row>
    <row r="120" customFormat="false" ht="15" hidden="false" customHeight="false" outlineLevel="0" collapsed="false">
      <c r="A120" s="19" t="n">
        <v>1</v>
      </c>
      <c r="B120" s="20" t="s">
        <v>396</v>
      </c>
      <c r="C120" s="21" t="s">
        <v>461</v>
      </c>
      <c r="D120" s="21" t="s">
        <v>462</v>
      </c>
      <c r="E120" s="19" t="s">
        <v>193</v>
      </c>
      <c r="F120" s="21" t="s">
        <v>55</v>
      </c>
      <c r="G120" s="22" t="s">
        <v>463</v>
      </c>
    </row>
    <row r="121" customFormat="false" ht="15" hidden="false" customHeight="false" outlineLevel="0" collapsed="false">
      <c r="A121" s="19" t="n">
        <v>1</v>
      </c>
      <c r="B121" s="20" t="s">
        <v>396</v>
      </c>
      <c r="C121" s="21" t="s">
        <v>464</v>
      </c>
      <c r="D121" s="21" t="s">
        <v>104</v>
      </c>
      <c r="E121" s="19" t="s">
        <v>59</v>
      </c>
      <c r="F121" s="21" t="s">
        <v>55</v>
      </c>
      <c r="G121" s="22" t="s">
        <v>465</v>
      </c>
    </row>
    <row r="122" customFormat="false" ht="15" hidden="false" customHeight="false" outlineLevel="0" collapsed="false">
      <c r="A122" s="19" t="n">
        <v>1</v>
      </c>
      <c r="B122" s="20" t="s">
        <v>396</v>
      </c>
      <c r="C122" s="21" t="s">
        <v>466</v>
      </c>
      <c r="D122" s="21" t="s">
        <v>467</v>
      </c>
      <c r="E122" s="19" t="s">
        <v>468</v>
      </c>
      <c r="F122" s="21" t="s">
        <v>55</v>
      </c>
      <c r="G122" s="22" t="s">
        <v>469</v>
      </c>
    </row>
    <row r="123" customFormat="false" ht="15" hidden="false" customHeight="false" outlineLevel="0" collapsed="false">
      <c r="A123" s="19" t="n">
        <v>1</v>
      </c>
      <c r="B123" s="20" t="s">
        <v>396</v>
      </c>
      <c r="C123" s="21" t="s">
        <v>470</v>
      </c>
      <c r="D123" s="21" t="s">
        <v>471</v>
      </c>
      <c r="E123" s="19" t="s">
        <v>249</v>
      </c>
      <c r="F123" s="21" t="s">
        <v>55</v>
      </c>
      <c r="G123" s="22" t="s">
        <v>472</v>
      </c>
    </row>
    <row r="124" customFormat="false" ht="15" hidden="false" customHeight="false" outlineLevel="0" collapsed="false">
      <c r="A124" s="19" t="n">
        <v>1</v>
      </c>
      <c r="B124" s="20" t="s">
        <v>396</v>
      </c>
      <c r="C124" s="21" t="s">
        <v>473</v>
      </c>
      <c r="D124" s="21" t="s">
        <v>474</v>
      </c>
      <c r="E124" s="19" t="s">
        <v>414</v>
      </c>
      <c r="F124" s="21" t="s">
        <v>55</v>
      </c>
      <c r="G124" s="22" t="s">
        <v>475</v>
      </c>
    </row>
    <row r="125" customFormat="false" ht="15" hidden="false" customHeight="false" outlineLevel="0" collapsed="false">
      <c r="A125" s="19" t="n">
        <v>1</v>
      </c>
      <c r="B125" s="20" t="s">
        <v>396</v>
      </c>
      <c r="C125" s="21" t="s">
        <v>476</v>
      </c>
      <c r="D125" s="21" t="s">
        <v>477</v>
      </c>
      <c r="E125" s="19" t="s">
        <v>422</v>
      </c>
      <c r="F125" s="21" t="s">
        <v>55</v>
      </c>
      <c r="G125" s="22" t="s">
        <v>478</v>
      </c>
    </row>
    <row r="126" customFormat="false" ht="15" hidden="false" customHeight="false" outlineLevel="0" collapsed="false">
      <c r="A126" s="19" t="n">
        <v>1</v>
      </c>
      <c r="B126" s="20" t="s">
        <v>396</v>
      </c>
      <c r="C126" s="21" t="s">
        <v>479</v>
      </c>
      <c r="D126" s="21" t="s">
        <v>480</v>
      </c>
      <c r="E126" s="19" t="s">
        <v>414</v>
      </c>
      <c r="F126" s="21" t="s">
        <v>65</v>
      </c>
      <c r="G126" s="22" t="s">
        <v>481</v>
      </c>
    </row>
    <row r="127" customFormat="false" ht="15" hidden="false" customHeight="false" outlineLevel="0" collapsed="false">
      <c r="A127" s="19" t="n">
        <v>1</v>
      </c>
      <c r="B127" s="20" t="s">
        <v>396</v>
      </c>
      <c r="C127" s="21" t="s">
        <v>482</v>
      </c>
      <c r="D127" s="21" t="s">
        <v>483</v>
      </c>
      <c r="E127" s="19" t="s">
        <v>256</v>
      </c>
      <c r="F127" s="21" t="s">
        <v>443</v>
      </c>
      <c r="G127" s="22" t="s">
        <v>484</v>
      </c>
    </row>
    <row r="128" customFormat="false" ht="15" hidden="false" customHeight="false" outlineLevel="0" collapsed="false">
      <c r="A128" s="19" t="n">
        <v>1</v>
      </c>
      <c r="B128" s="20" t="s">
        <v>396</v>
      </c>
      <c r="C128" s="21" t="s">
        <v>485</v>
      </c>
      <c r="D128" s="21" t="s">
        <v>486</v>
      </c>
      <c r="E128" s="19" t="s">
        <v>256</v>
      </c>
      <c r="F128" s="21" t="s">
        <v>55</v>
      </c>
      <c r="G128" s="22" t="s">
        <v>487</v>
      </c>
    </row>
    <row r="129" customFormat="false" ht="15" hidden="false" customHeight="false" outlineLevel="0" collapsed="false">
      <c r="A129" s="19" t="n">
        <v>1</v>
      </c>
      <c r="B129" s="20" t="s">
        <v>396</v>
      </c>
      <c r="C129" s="21" t="s">
        <v>488</v>
      </c>
      <c r="D129" s="21" t="s">
        <v>467</v>
      </c>
      <c r="E129" s="19" t="s">
        <v>442</v>
      </c>
      <c r="F129" s="21" t="s">
        <v>55</v>
      </c>
      <c r="G129" s="22" t="s">
        <v>489</v>
      </c>
    </row>
    <row r="130" customFormat="false" ht="15" hidden="false" customHeight="false" outlineLevel="0" collapsed="false">
      <c r="A130" s="19" t="n">
        <v>1</v>
      </c>
      <c r="B130" s="20" t="s">
        <v>396</v>
      </c>
      <c r="C130" s="21" t="s">
        <v>490</v>
      </c>
      <c r="D130" s="21" t="s">
        <v>491</v>
      </c>
      <c r="E130" s="19" t="s">
        <v>492</v>
      </c>
      <c r="F130" s="21" t="s">
        <v>55</v>
      </c>
      <c r="G130" s="22" t="s">
        <v>493</v>
      </c>
    </row>
    <row r="131" customFormat="false" ht="15" hidden="false" customHeight="false" outlineLevel="0" collapsed="false">
      <c r="A131" s="19" t="n">
        <v>1</v>
      </c>
      <c r="B131" s="20" t="s">
        <v>396</v>
      </c>
      <c r="C131" s="21" t="s">
        <v>494</v>
      </c>
      <c r="D131" s="21" t="s">
        <v>339</v>
      </c>
      <c r="E131" s="19" t="s">
        <v>495</v>
      </c>
      <c r="F131" s="21" t="s">
        <v>264</v>
      </c>
      <c r="G131" s="22" t="s">
        <v>496</v>
      </c>
    </row>
    <row r="132" customFormat="false" ht="15" hidden="false" customHeight="false" outlineLevel="0" collapsed="false">
      <c r="A132" s="19" t="n">
        <v>1</v>
      </c>
      <c r="B132" s="20" t="s">
        <v>396</v>
      </c>
      <c r="C132" s="21" t="s">
        <v>497</v>
      </c>
      <c r="D132" s="21" t="s">
        <v>498</v>
      </c>
      <c r="E132" s="19" t="s">
        <v>399</v>
      </c>
      <c r="F132" s="21" t="s">
        <v>499</v>
      </c>
      <c r="G132" s="22" t="s">
        <v>500</v>
      </c>
    </row>
    <row r="133" customFormat="false" ht="15" hidden="false" customHeight="false" outlineLevel="0" collapsed="false">
      <c r="A133" s="19" t="n">
        <v>1</v>
      </c>
      <c r="B133" s="20" t="s">
        <v>396</v>
      </c>
      <c r="C133" s="21" t="s">
        <v>501</v>
      </c>
      <c r="D133" s="21" t="s">
        <v>498</v>
      </c>
      <c r="E133" s="19" t="s">
        <v>502</v>
      </c>
      <c r="F133" s="21" t="s">
        <v>499</v>
      </c>
      <c r="G133" s="22" t="s">
        <v>503</v>
      </c>
    </row>
    <row r="134" customFormat="false" ht="15" hidden="false" customHeight="false" outlineLevel="0" collapsed="false">
      <c r="A134" s="19" t="n">
        <v>1</v>
      </c>
      <c r="B134" s="20" t="s">
        <v>396</v>
      </c>
      <c r="C134" s="21" t="s">
        <v>504</v>
      </c>
      <c r="D134" s="21" t="s">
        <v>505</v>
      </c>
      <c r="E134" s="19" t="s">
        <v>105</v>
      </c>
      <c r="F134" s="21" t="s">
        <v>55</v>
      </c>
      <c r="G134" s="22" t="s">
        <v>506</v>
      </c>
    </row>
    <row r="135" customFormat="false" ht="15" hidden="false" customHeight="false" outlineLevel="0" collapsed="false">
      <c r="A135" s="19" t="n">
        <v>1</v>
      </c>
      <c r="B135" s="20" t="s">
        <v>396</v>
      </c>
      <c r="C135" s="21" t="s">
        <v>507</v>
      </c>
      <c r="D135" s="21" t="s">
        <v>508</v>
      </c>
      <c r="E135" s="19" t="s">
        <v>492</v>
      </c>
      <c r="F135" s="21" t="s">
        <v>69</v>
      </c>
      <c r="G135" s="22" t="s">
        <v>509</v>
      </c>
    </row>
    <row r="136" customFormat="false" ht="15" hidden="false" customHeight="false" outlineLevel="0" collapsed="false">
      <c r="A136" s="19" t="n">
        <v>1</v>
      </c>
      <c r="B136" s="20" t="s">
        <v>396</v>
      </c>
      <c r="C136" s="21" t="s">
        <v>510</v>
      </c>
      <c r="D136" s="21" t="s">
        <v>275</v>
      </c>
      <c r="E136" s="19" t="s">
        <v>511</v>
      </c>
      <c r="F136" s="21" t="s">
        <v>264</v>
      </c>
      <c r="G136" s="22" t="s">
        <v>512</v>
      </c>
    </row>
    <row r="137" customFormat="false" ht="15" hidden="false" customHeight="false" outlineLevel="0" collapsed="false">
      <c r="A137" s="19" t="n">
        <v>1</v>
      </c>
      <c r="B137" s="20" t="s">
        <v>396</v>
      </c>
      <c r="C137" s="21" t="s">
        <v>513</v>
      </c>
      <c r="D137" s="21" t="s">
        <v>448</v>
      </c>
      <c r="E137" s="19" t="s">
        <v>256</v>
      </c>
      <c r="F137" s="21" t="s">
        <v>55</v>
      </c>
      <c r="G137" s="22" t="s">
        <v>514</v>
      </c>
    </row>
    <row r="138" customFormat="false" ht="15" hidden="false" customHeight="false" outlineLevel="0" collapsed="false">
      <c r="A138" s="11" t="n">
        <v>2</v>
      </c>
      <c r="B138" s="12" t="s">
        <v>51</v>
      </c>
      <c r="C138" s="13" t="s">
        <v>515</v>
      </c>
      <c r="D138" s="13" t="s">
        <v>516</v>
      </c>
      <c r="E138" s="11" t="s">
        <v>517</v>
      </c>
      <c r="F138" s="13" t="s">
        <v>55</v>
      </c>
      <c r="G138" s="14" t="s">
        <v>518</v>
      </c>
    </row>
    <row r="139" customFormat="false" ht="15" hidden="false" customHeight="false" outlineLevel="0" collapsed="false">
      <c r="A139" s="11" t="n">
        <v>2</v>
      </c>
      <c r="B139" s="12" t="s">
        <v>51</v>
      </c>
      <c r="C139" s="13" t="s">
        <v>519</v>
      </c>
      <c r="D139" s="13" t="s">
        <v>520</v>
      </c>
      <c r="E139" s="11" t="s">
        <v>105</v>
      </c>
      <c r="F139" s="13" t="s">
        <v>55</v>
      </c>
      <c r="G139" s="14" t="s">
        <v>521</v>
      </c>
    </row>
    <row r="140" customFormat="false" ht="15" hidden="false" customHeight="false" outlineLevel="0" collapsed="false">
      <c r="A140" s="11" t="n">
        <v>2</v>
      </c>
      <c r="B140" s="12" t="s">
        <v>51</v>
      </c>
      <c r="C140" s="13" t="s">
        <v>522</v>
      </c>
      <c r="D140" s="13" t="s">
        <v>523</v>
      </c>
      <c r="E140" s="11" t="s">
        <v>181</v>
      </c>
      <c r="F140" s="13" t="s">
        <v>138</v>
      </c>
      <c r="G140" s="14" t="s">
        <v>524</v>
      </c>
    </row>
    <row r="141" customFormat="false" ht="15" hidden="false" customHeight="false" outlineLevel="0" collapsed="false">
      <c r="A141" s="11" t="n">
        <v>2</v>
      </c>
      <c r="B141" s="12" t="s">
        <v>51</v>
      </c>
      <c r="C141" s="13" t="s">
        <v>525</v>
      </c>
      <c r="D141" s="13" t="s">
        <v>526</v>
      </c>
      <c r="E141" s="11" t="s">
        <v>105</v>
      </c>
      <c r="F141" s="13" t="s">
        <v>138</v>
      </c>
      <c r="G141" s="14" t="s">
        <v>527</v>
      </c>
    </row>
    <row r="142" customFormat="false" ht="15" hidden="false" customHeight="false" outlineLevel="0" collapsed="false">
      <c r="A142" s="11" t="n">
        <v>2</v>
      </c>
      <c r="B142" s="12" t="s">
        <v>51</v>
      </c>
      <c r="C142" s="13" t="s">
        <v>528</v>
      </c>
      <c r="D142" s="13" t="s">
        <v>529</v>
      </c>
      <c r="E142" s="11" t="s">
        <v>170</v>
      </c>
      <c r="F142" s="13" t="s">
        <v>55</v>
      </c>
      <c r="G142" s="14" t="s">
        <v>530</v>
      </c>
    </row>
    <row r="143" customFormat="false" ht="15" hidden="false" customHeight="false" outlineLevel="0" collapsed="false">
      <c r="A143" s="11" t="n">
        <v>2</v>
      </c>
      <c r="B143" s="12" t="s">
        <v>51</v>
      </c>
      <c r="C143" s="13" t="s">
        <v>531</v>
      </c>
      <c r="D143" s="13" t="s">
        <v>532</v>
      </c>
      <c r="E143" s="11" t="s">
        <v>414</v>
      </c>
      <c r="F143" s="13" t="s">
        <v>55</v>
      </c>
      <c r="G143" s="14" t="s">
        <v>533</v>
      </c>
    </row>
    <row r="144" customFormat="false" ht="15" hidden="false" customHeight="false" outlineLevel="0" collapsed="false">
      <c r="A144" s="11" t="n">
        <v>2</v>
      </c>
      <c r="B144" s="12" t="s">
        <v>51</v>
      </c>
      <c r="C144" s="13" t="s">
        <v>534</v>
      </c>
      <c r="D144" s="13" t="s">
        <v>535</v>
      </c>
      <c r="E144" s="11" t="s">
        <v>236</v>
      </c>
      <c r="F144" s="13" t="s">
        <v>279</v>
      </c>
      <c r="G144" s="14" t="s">
        <v>536</v>
      </c>
    </row>
    <row r="145" customFormat="false" ht="15" hidden="false" customHeight="false" outlineLevel="0" collapsed="false">
      <c r="A145" s="11" t="n">
        <v>2</v>
      </c>
      <c r="B145" s="12" t="s">
        <v>51</v>
      </c>
      <c r="C145" s="13" t="s">
        <v>537</v>
      </c>
      <c r="D145" s="13" t="s">
        <v>538</v>
      </c>
      <c r="E145" s="11" t="s">
        <v>492</v>
      </c>
      <c r="F145" s="13" t="s">
        <v>55</v>
      </c>
      <c r="G145" s="14" t="s">
        <v>539</v>
      </c>
    </row>
    <row r="146" customFormat="false" ht="15" hidden="false" customHeight="false" outlineLevel="0" collapsed="false">
      <c r="A146" s="11" t="n">
        <v>2</v>
      </c>
      <c r="B146" s="12" t="s">
        <v>51</v>
      </c>
      <c r="C146" s="13" t="s">
        <v>540</v>
      </c>
      <c r="D146" s="13" t="s">
        <v>541</v>
      </c>
      <c r="E146" s="11" t="s">
        <v>542</v>
      </c>
      <c r="F146" s="13" t="s">
        <v>82</v>
      </c>
      <c r="G146" s="14" t="s">
        <v>543</v>
      </c>
    </row>
    <row r="147" customFormat="false" ht="15" hidden="false" customHeight="false" outlineLevel="0" collapsed="false">
      <c r="A147" s="11" t="n">
        <v>2</v>
      </c>
      <c r="B147" s="12" t="s">
        <v>51</v>
      </c>
      <c r="C147" s="13" t="s">
        <v>544</v>
      </c>
      <c r="D147" s="13" t="s">
        <v>545</v>
      </c>
      <c r="E147" s="11" t="s">
        <v>542</v>
      </c>
      <c r="F147" s="13" t="s">
        <v>55</v>
      </c>
      <c r="G147" s="14" t="s">
        <v>546</v>
      </c>
    </row>
    <row r="148" customFormat="false" ht="15" hidden="false" customHeight="false" outlineLevel="0" collapsed="false">
      <c r="A148" s="11" t="n">
        <v>2</v>
      </c>
      <c r="B148" s="12" t="s">
        <v>51</v>
      </c>
      <c r="C148" s="13" t="s">
        <v>547</v>
      </c>
      <c r="D148" s="13" t="s">
        <v>548</v>
      </c>
      <c r="E148" s="11" t="s">
        <v>549</v>
      </c>
      <c r="F148" s="13" t="s">
        <v>55</v>
      </c>
      <c r="G148" s="14" t="s">
        <v>550</v>
      </c>
    </row>
    <row r="149" customFormat="false" ht="15" hidden="false" customHeight="false" outlineLevel="0" collapsed="false">
      <c r="A149" s="11" t="n">
        <v>2</v>
      </c>
      <c r="B149" s="12" t="s">
        <v>51</v>
      </c>
      <c r="C149" s="13" t="s">
        <v>551</v>
      </c>
      <c r="D149" s="13" t="s">
        <v>157</v>
      </c>
      <c r="E149" s="11" t="s">
        <v>120</v>
      </c>
      <c r="F149" s="13" t="s">
        <v>159</v>
      </c>
      <c r="G149" s="14" t="s">
        <v>552</v>
      </c>
    </row>
    <row r="150" customFormat="false" ht="15" hidden="false" customHeight="false" outlineLevel="0" collapsed="false">
      <c r="A150" s="11" t="n">
        <v>2</v>
      </c>
      <c r="B150" s="12" t="s">
        <v>51</v>
      </c>
      <c r="C150" s="13" t="s">
        <v>553</v>
      </c>
      <c r="D150" s="13" t="s">
        <v>554</v>
      </c>
      <c r="E150" s="11" t="s">
        <v>555</v>
      </c>
      <c r="F150" s="13" t="s">
        <v>82</v>
      </c>
      <c r="G150" s="14" t="s">
        <v>556</v>
      </c>
    </row>
    <row r="151" customFormat="false" ht="15" hidden="false" customHeight="false" outlineLevel="0" collapsed="false">
      <c r="A151" s="11" t="n">
        <v>2</v>
      </c>
      <c r="B151" s="12" t="s">
        <v>51</v>
      </c>
      <c r="C151" s="13" t="s">
        <v>557</v>
      </c>
      <c r="D151" s="13" t="s">
        <v>558</v>
      </c>
      <c r="E151" s="11" t="s">
        <v>134</v>
      </c>
      <c r="F151" s="13" t="s">
        <v>82</v>
      </c>
      <c r="G151" s="14" t="s">
        <v>559</v>
      </c>
    </row>
    <row r="152" customFormat="false" ht="15" hidden="false" customHeight="false" outlineLevel="0" collapsed="false">
      <c r="A152" s="11" t="n">
        <v>2</v>
      </c>
      <c r="B152" s="12" t="s">
        <v>51</v>
      </c>
      <c r="C152" s="13" t="s">
        <v>560</v>
      </c>
      <c r="D152" s="13" t="s">
        <v>96</v>
      </c>
      <c r="E152" s="11" t="s">
        <v>64</v>
      </c>
      <c r="F152" s="13" t="s">
        <v>82</v>
      </c>
      <c r="G152" s="14" t="s">
        <v>561</v>
      </c>
    </row>
    <row r="153" customFormat="false" ht="15" hidden="false" customHeight="false" outlineLevel="0" collapsed="false">
      <c r="A153" s="11" t="n">
        <v>2</v>
      </c>
      <c r="B153" s="12" t="s">
        <v>51</v>
      </c>
      <c r="C153" s="13" t="s">
        <v>562</v>
      </c>
      <c r="D153" s="13" t="s">
        <v>563</v>
      </c>
      <c r="E153" s="11" t="s">
        <v>73</v>
      </c>
      <c r="F153" s="13" t="s">
        <v>564</v>
      </c>
      <c r="G153" s="14" t="s">
        <v>565</v>
      </c>
    </row>
    <row r="154" customFormat="false" ht="15" hidden="false" customHeight="false" outlineLevel="0" collapsed="false">
      <c r="A154" s="11" t="n">
        <v>2</v>
      </c>
      <c r="B154" s="12" t="s">
        <v>51</v>
      </c>
      <c r="C154" s="13" t="s">
        <v>566</v>
      </c>
      <c r="D154" s="13" t="s">
        <v>538</v>
      </c>
      <c r="E154" s="11" t="s">
        <v>422</v>
      </c>
      <c r="F154" s="13" t="s">
        <v>55</v>
      </c>
      <c r="G154" s="14" t="s">
        <v>567</v>
      </c>
    </row>
    <row r="155" customFormat="false" ht="15" hidden="false" customHeight="false" outlineLevel="0" collapsed="false">
      <c r="A155" s="11" t="n">
        <v>2</v>
      </c>
      <c r="B155" s="12" t="s">
        <v>51</v>
      </c>
      <c r="C155" s="13" t="s">
        <v>568</v>
      </c>
      <c r="D155" s="13" t="s">
        <v>53</v>
      </c>
      <c r="E155" s="11" t="s">
        <v>85</v>
      </c>
      <c r="F155" s="13" t="s">
        <v>55</v>
      </c>
      <c r="G155" s="14" t="s">
        <v>569</v>
      </c>
    </row>
    <row r="156" customFormat="false" ht="15" hidden="false" customHeight="false" outlineLevel="0" collapsed="false">
      <c r="A156" s="11" t="n">
        <v>2</v>
      </c>
      <c r="B156" s="12" t="s">
        <v>51</v>
      </c>
      <c r="C156" s="13" t="s">
        <v>570</v>
      </c>
      <c r="D156" s="13" t="s">
        <v>571</v>
      </c>
      <c r="E156" s="11" t="s">
        <v>492</v>
      </c>
      <c r="F156" s="13" t="s">
        <v>69</v>
      </c>
      <c r="G156" s="14" t="s">
        <v>572</v>
      </c>
    </row>
    <row r="157" customFormat="false" ht="15" hidden="false" customHeight="false" outlineLevel="0" collapsed="false">
      <c r="A157" s="11" t="n">
        <v>2</v>
      </c>
      <c r="B157" s="12" t="s">
        <v>51</v>
      </c>
      <c r="C157" s="13" t="s">
        <v>573</v>
      </c>
      <c r="D157" s="13" t="s">
        <v>574</v>
      </c>
      <c r="E157" s="11" t="s">
        <v>414</v>
      </c>
      <c r="F157" s="13" t="s">
        <v>55</v>
      </c>
      <c r="G157" s="14" t="s">
        <v>575</v>
      </c>
    </row>
    <row r="158" customFormat="false" ht="15" hidden="false" customHeight="false" outlineLevel="0" collapsed="false">
      <c r="A158" s="11" t="n">
        <v>2</v>
      </c>
      <c r="B158" s="12" t="s">
        <v>51</v>
      </c>
      <c r="C158" s="13" t="s">
        <v>576</v>
      </c>
      <c r="D158" s="13" t="s">
        <v>523</v>
      </c>
      <c r="E158" s="11" t="s">
        <v>577</v>
      </c>
      <c r="F158" s="13" t="s">
        <v>138</v>
      </c>
      <c r="G158" s="14" t="s">
        <v>578</v>
      </c>
    </row>
    <row r="159" customFormat="false" ht="15" hidden="false" customHeight="false" outlineLevel="0" collapsed="false">
      <c r="A159" s="11" t="n">
        <v>2</v>
      </c>
      <c r="B159" s="12" t="s">
        <v>51</v>
      </c>
      <c r="C159" s="13" t="s">
        <v>579</v>
      </c>
      <c r="D159" s="13" t="s">
        <v>215</v>
      </c>
      <c r="E159" s="11" t="s">
        <v>580</v>
      </c>
      <c r="F159" s="13" t="s">
        <v>82</v>
      </c>
      <c r="G159" s="14" t="s">
        <v>581</v>
      </c>
    </row>
    <row r="160" customFormat="false" ht="15" hidden="false" customHeight="false" outlineLevel="0" collapsed="false">
      <c r="A160" s="11" t="n">
        <v>2</v>
      </c>
      <c r="B160" s="12" t="s">
        <v>51</v>
      </c>
      <c r="C160" s="13" t="s">
        <v>582</v>
      </c>
      <c r="D160" s="13" t="s">
        <v>583</v>
      </c>
      <c r="E160" s="11" t="s">
        <v>134</v>
      </c>
      <c r="F160" s="13" t="s">
        <v>125</v>
      </c>
      <c r="G160" s="14" t="s">
        <v>584</v>
      </c>
    </row>
    <row r="161" customFormat="false" ht="15" hidden="false" customHeight="false" outlineLevel="0" collapsed="false">
      <c r="A161" s="11" t="n">
        <v>2</v>
      </c>
      <c r="B161" s="12" t="s">
        <v>51</v>
      </c>
      <c r="C161" s="13" t="s">
        <v>585</v>
      </c>
      <c r="D161" s="13" t="s">
        <v>586</v>
      </c>
      <c r="E161" s="11" t="s">
        <v>150</v>
      </c>
      <c r="F161" s="13" t="s">
        <v>82</v>
      </c>
      <c r="G161" s="14" t="s">
        <v>587</v>
      </c>
    </row>
    <row r="162" customFormat="false" ht="15" hidden="false" customHeight="false" outlineLevel="0" collapsed="false">
      <c r="A162" s="11" t="n">
        <v>2</v>
      </c>
      <c r="B162" s="12" t="s">
        <v>51</v>
      </c>
      <c r="C162" s="13" t="s">
        <v>588</v>
      </c>
      <c r="D162" s="13" t="s">
        <v>589</v>
      </c>
      <c r="E162" s="11" t="s">
        <v>193</v>
      </c>
      <c r="F162" s="13" t="s">
        <v>125</v>
      </c>
      <c r="G162" s="14" t="s">
        <v>590</v>
      </c>
    </row>
    <row r="163" customFormat="false" ht="15" hidden="false" customHeight="false" outlineLevel="0" collapsed="false">
      <c r="A163" s="11" t="n">
        <v>2</v>
      </c>
      <c r="B163" s="12" t="s">
        <v>51</v>
      </c>
      <c r="C163" s="13" t="s">
        <v>591</v>
      </c>
      <c r="D163" s="13" t="s">
        <v>592</v>
      </c>
      <c r="E163" s="11" t="s">
        <v>593</v>
      </c>
      <c r="F163" s="13" t="s">
        <v>55</v>
      </c>
      <c r="G163" s="14" t="s">
        <v>594</v>
      </c>
    </row>
    <row r="164" customFormat="false" ht="15" hidden="false" customHeight="false" outlineLevel="0" collapsed="false">
      <c r="A164" s="11" t="n">
        <v>2</v>
      </c>
      <c r="B164" s="12" t="s">
        <v>51</v>
      </c>
      <c r="C164" s="13" t="s">
        <v>595</v>
      </c>
      <c r="D164" s="13" t="s">
        <v>196</v>
      </c>
      <c r="E164" s="11" t="s">
        <v>134</v>
      </c>
      <c r="F164" s="13" t="s">
        <v>82</v>
      </c>
      <c r="G164" s="14" t="s">
        <v>596</v>
      </c>
    </row>
    <row r="165" customFormat="false" ht="15" hidden="false" customHeight="false" outlineLevel="0" collapsed="false">
      <c r="A165" s="11" t="n">
        <v>2</v>
      </c>
      <c r="B165" s="12" t="s">
        <v>51</v>
      </c>
      <c r="C165" s="13" t="s">
        <v>597</v>
      </c>
      <c r="D165" s="13" t="s">
        <v>586</v>
      </c>
      <c r="E165" s="11" t="s">
        <v>598</v>
      </c>
      <c r="F165" s="13" t="s">
        <v>82</v>
      </c>
      <c r="G165" s="14" t="s">
        <v>599</v>
      </c>
    </row>
    <row r="166" customFormat="false" ht="15" hidden="false" customHeight="false" outlineLevel="0" collapsed="false">
      <c r="A166" s="11" t="n">
        <v>2</v>
      </c>
      <c r="B166" s="12" t="s">
        <v>51</v>
      </c>
      <c r="C166" s="13" t="s">
        <v>600</v>
      </c>
      <c r="D166" s="13" t="s">
        <v>232</v>
      </c>
      <c r="E166" s="11" t="s">
        <v>226</v>
      </c>
      <c r="F166" s="13" t="s">
        <v>125</v>
      </c>
      <c r="G166" s="14" t="s">
        <v>601</v>
      </c>
    </row>
    <row r="167" customFormat="false" ht="15" hidden="false" customHeight="false" outlineLevel="0" collapsed="false">
      <c r="A167" s="11" t="n">
        <v>2</v>
      </c>
      <c r="B167" s="12" t="s">
        <v>51</v>
      </c>
      <c r="C167" s="13" t="s">
        <v>602</v>
      </c>
      <c r="D167" s="13" t="s">
        <v>532</v>
      </c>
      <c r="E167" s="11" t="s">
        <v>78</v>
      </c>
      <c r="F167" s="13" t="s">
        <v>55</v>
      </c>
      <c r="G167" s="14" t="s">
        <v>603</v>
      </c>
    </row>
    <row r="168" customFormat="false" ht="15" hidden="false" customHeight="false" outlineLevel="0" collapsed="false">
      <c r="A168" s="11" t="n">
        <v>2</v>
      </c>
      <c r="B168" s="12" t="s">
        <v>51</v>
      </c>
      <c r="C168" s="13" t="s">
        <v>604</v>
      </c>
      <c r="D168" s="13" t="s">
        <v>605</v>
      </c>
      <c r="E168" s="11" t="s">
        <v>68</v>
      </c>
      <c r="F168" s="13" t="s">
        <v>55</v>
      </c>
      <c r="G168" s="14" t="s">
        <v>606</v>
      </c>
    </row>
    <row r="169" customFormat="false" ht="15" hidden="false" customHeight="false" outlineLevel="0" collapsed="false">
      <c r="A169" s="11" t="n">
        <v>2</v>
      </c>
      <c r="B169" s="12" t="s">
        <v>51</v>
      </c>
      <c r="C169" s="13" t="s">
        <v>607</v>
      </c>
      <c r="D169" s="13" t="s">
        <v>192</v>
      </c>
      <c r="E169" s="11" t="s">
        <v>492</v>
      </c>
      <c r="F169" s="13" t="s">
        <v>55</v>
      </c>
      <c r="G169" s="14" t="s">
        <v>608</v>
      </c>
    </row>
    <row r="170" customFormat="false" ht="15" hidden="false" customHeight="false" outlineLevel="0" collapsed="false">
      <c r="A170" s="11" t="n">
        <v>2</v>
      </c>
      <c r="B170" s="12" t="s">
        <v>51</v>
      </c>
      <c r="C170" s="13" t="s">
        <v>609</v>
      </c>
      <c r="D170" s="13" t="s">
        <v>605</v>
      </c>
      <c r="E170" s="11" t="s">
        <v>85</v>
      </c>
      <c r="F170" s="13" t="s">
        <v>55</v>
      </c>
      <c r="G170" s="14" t="s">
        <v>610</v>
      </c>
    </row>
    <row r="171" customFormat="false" ht="15" hidden="false" customHeight="false" outlineLevel="0" collapsed="false">
      <c r="A171" s="11" t="n">
        <v>2</v>
      </c>
      <c r="B171" s="12" t="s">
        <v>51</v>
      </c>
      <c r="C171" s="13" t="s">
        <v>611</v>
      </c>
      <c r="D171" s="13" t="s">
        <v>53</v>
      </c>
      <c r="E171" s="11" t="s">
        <v>193</v>
      </c>
      <c r="F171" s="13" t="s">
        <v>55</v>
      </c>
      <c r="G171" s="14" t="s">
        <v>612</v>
      </c>
    </row>
    <row r="172" customFormat="false" ht="15" hidden="false" customHeight="false" outlineLevel="0" collapsed="false">
      <c r="A172" s="11" t="n">
        <v>2</v>
      </c>
      <c r="B172" s="12" t="s">
        <v>51</v>
      </c>
      <c r="C172" s="13" t="s">
        <v>613</v>
      </c>
      <c r="D172" s="13" t="s">
        <v>516</v>
      </c>
      <c r="E172" s="11" t="s">
        <v>173</v>
      </c>
      <c r="F172" s="13" t="s">
        <v>55</v>
      </c>
      <c r="G172" s="14" t="s">
        <v>614</v>
      </c>
    </row>
    <row r="173" customFormat="false" ht="15" hidden="false" customHeight="false" outlineLevel="0" collapsed="false">
      <c r="A173" s="11" t="n">
        <v>2</v>
      </c>
      <c r="B173" s="12" t="s">
        <v>51</v>
      </c>
      <c r="C173" s="13" t="s">
        <v>615</v>
      </c>
      <c r="D173" s="13" t="s">
        <v>616</v>
      </c>
      <c r="E173" s="11" t="s">
        <v>85</v>
      </c>
      <c r="F173" s="13" t="s">
        <v>55</v>
      </c>
      <c r="G173" s="14" t="s">
        <v>617</v>
      </c>
    </row>
    <row r="174" customFormat="false" ht="15" hidden="false" customHeight="false" outlineLevel="0" collapsed="false">
      <c r="A174" s="11" t="n">
        <v>2</v>
      </c>
      <c r="B174" s="12" t="s">
        <v>51</v>
      </c>
      <c r="C174" s="13" t="s">
        <v>618</v>
      </c>
      <c r="D174" s="13" t="s">
        <v>96</v>
      </c>
      <c r="E174" s="11" t="s">
        <v>619</v>
      </c>
      <c r="F174" s="13" t="s">
        <v>82</v>
      </c>
      <c r="G174" s="14" t="s">
        <v>620</v>
      </c>
    </row>
    <row r="175" customFormat="false" ht="15" hidden="false" customHeight="false" outlineLevel="0" collapsed="false">
      <c r="A175" s="11" t="n">
        <v>2</v>
      </c>
      <c r="B175" s="12" t="s">
        <v>51</v>
      </c>
      <c r="C175" s="13" t="s">
        <v>621</v>
      </c>
      <c r="D175" s="13" t="s">
        <v>622</v>
      </c>
      <c r="E175" s="11" t="s">
        <v>97</v>
      </c>
      <c r="F175" s="13" t="s">
        <v>65</v>
      </c>
      <c r="G175" s="14" t="s">
        <v>623</v>
      </c>
    </row>
    <row r="176" customFormat="false" ht="15" hidden="false" customHeight="false" outlineLevel="0" collapsed="false">
      <c r="A176" s="11" t="n">
        <v>2</v>
      </c>
      <c r="B176" s="12" t="s">
        <v>51</v>
      </c>
      <c r="C176" s="13" t="s">
        <v>624</v>
      </c>
      <c r="D176" s="13" t="s">
        <v>625</v>
      </c>
      <c r="E176" s="11" t="s">
        <v>85</v>
      </c>
      <c r="F176" s="13" t="s">
        <v>65</v>
      </c>
      <c r="G176" s="14" t="s">
        <v>626</v>
      </c>
    </row>
    <row r="177" customFormat="false" ht="15" hidden="false" customHeight="false" outlineLevel="0" collapsed="false">
      <c r="A177" s="11" t="n">
        <v>2</v>
      </c>
      <c r="B177" s="12" t="s">
        <v>51</v>
      </c>
      <c r="C177" s="13" t="s">
        <v>627</v>
      </c>
      <c r="D177" s="13" t="s">
        <v>628</v>
      </c>
      <c r="E177" s="11" t="s">
        <v>173</v>
      </c>
      <c r="F177" s="13" t="s">
        <v>125</v>
      </c>
      <c r="G177" s="14" t="s">
        <v>629</v>
      </c>
    </row>
    <row r="178" customFormat="false" ht="15" hidden="false" customHeight="false" outlineLevel="0" collapsed="false">
      <c r="A178" s="11" t="n">
        <v>2</v>
      </c>
      <c r="B178" s="12" t="s">
        <v>51</v>
      </c>
      <c r="C178" s="13" t="s">
        <v>630</v>
      </c>
      <c r="D178" s="13" t="s">
        <v>219</v>
      </c>
      <c r="E178" s="11" t="s">
        <v>216</v>
      </c>
      <c r="F178" s="13" t="s">
        <v>55</v>
      </c>
      <c r="G178" s="14" t="s">
        <v>631</v>
      </c>
    </row>
    <row r="179" customFormat="false" ht="15" hidden="false" customHeight="false" outlineLevel="0" collapsed="false">
      <c r="A179" s="11" t="n">
        <v>2</v>
      </c>
      <c r="B179" s="12" t="s">
        <v>51</v>
      </c>
      <c r="C179" s="13" t="s">
        <v>632</v>
      </c>
      <c r="D179" s="13" t="s">
        <v>633</v>
      </c>
      <c r="E179" s="11" t="s">
        <v>634</v>
      </c>
      <c r="F179" s="13" t="s">
        <v>635</v>
      </c>
      <c r="G179" s="14" t="s">
        <v>636</v>
      </c>
    </row>
    <row r="180" customFormat="false" ht="15" hidden="false" customHeight="false" outlineLevel="0" collapsed="false">
      <c r="A180" s="11" t="n">
        <v>2</v>
      </c>
      <c r="B180" s="12" t="s">
        <v>51</v>
      </c>
      <c r="C180" s="13" t="s">
        <v>637</v>
      </c>
      <c r="D180" s="13" t="s">
        <v>77</v>
      </c>
      <c r="E180" s="11" t="s">
        <v>105</v>
      </c>
      <c r="F180" s="13" t="s">
        <v>55</v>
      </c>
      <c r="G180" s="14" t="s">
        <v>638</v>
      </c>
    </row>
    <row r="181" customFormat="false" ht="15" hidden="false" customHeight="false" outlineLevel="0" collapsed="false">
      <c r="A181" s="11" t="n">
        <v>2</v>
      </c>
      <c r="B181" s="12" t="s">
        <v>51</v>
      </c>
      <c r="C181" s="13" t="s">
        <v>639</v>
      </c>
      <c r="D181" s="13" t="s">
        <v>640</v>
      </c>
      <c r="E181" s="11" t="s">
        <v>54</v>
      </c>
      <c r="F181" s="13" t="s">
        <v>74</v>
      </c>
      <c r="G181" s="14" t="s">
        <v>641</v>
      </c>
    </row>
    <row r="182" customFormat="false" ht="15" hidden="false" customHeight="false" outlineLevel="0" collapsed="false">
      <c r="A182" s="11" t="n">
        <v>2</v>
      </c>
      <c r="B182" s="12" t="s">
        <v>51</v>
      </c>
      <c r="C182" s="13" t="s">
        <v>642</v>
      </c>
      <c r="D182" s="13" t="s">
        <v>541</v>
      </c>
      <c r="E182" s="11" t="s">
        <v>181</v>
      </c>
      <c r="F182" s="13" t="s">
        <v>82</v>
      </c>
      <c r="G182" s="14" t="s">
        <v>643</v>
      </c>
    </row>
    <row r="183" customFormat="false" ht="15" hidden="false" customHeight="false" outlineLevel="0" collapsed="false">
      <c r="A183" s="11" t="n">
        <v>2</v>
      </c>
      <c r="B183" s="12" t="s">
        <v>51</v>
      </c>
      <c r="C183" s="13" t="s">
        <v>644</v>
      </c>
      <c r="D183" s="13" t="s">
        <v>645</v>
      </c>
      <c r="E183" s="11" t="s">
        <v>542</v>
      </c>
      <c r="F183" s="13" t="s">
        <v>55</v>
      </c>
      <c r="G183" s="14" t="s">
        <v>646</v>
      </c>
    </row>
    <row r="184" customFormat="false" ht="15" hidden="false" customHeight="false" outlineLevel="0" collapsed="false">
      <c r="A184" s="11" t="n">
        <v>2</v>
      </c>
      <c r="B184" s="12" t="s">
        <v>51</v>
      </c>
      <c r="C184" s="13" t="s">
        <v>647</v>
      </c>
      <c r="D184" s="13" t="s">
        <v>622</v>
      </c>
      <c r="E184" s="11" t="s">
        <v>64</v>
      </c>
      <c r="F184" s="13" t="s">
        <v>65</v>
      </c>
      <c r="G184" s="14" t="s">
        <v>648</v>
      </c>
    </row>
    <row r="185" customFormat="false" ht="15" hidden="false" customHeight="false" outlineLevel="0" collapsed="false">
      <c r="A185" s="11" t="n">
        <v>2</v>
      </c>
      <c r="B185" s="12" t="s">
        <v>51</v>
      </c>
      <c r="C185" s="13" t="s">
        <v>649</v>
      </c>
      <c r="D185" s="13" t="s">
        <v>526</v>
      </c>
      <c r="E185" s="11" t="s">
        <v>78</v>
      </c>
      <c r="F185" s="13" t="s">
        <v>138</v>
      </c>
      <c r="G185" s="14" t="s">
        <v>650</v>
      </c>
    </row>
    <row r="186" customFormat="false" ht="15" hidden="false" customHeight="false" outlineLevel="0" collapsed="false">
      <c r="A186" s="11" t="n">
        <v>2</v>
      </c>
      <c r="B186" s="12" t="s">
        <v>51</v>
      </c>
      <c r="C186" s="13" t="s">
        <v>651</v>
      </c>
      <c r="D186" s="13" t="s">
        <v>652</v>
      </c>
      <c r="E186" s="11" t="s">
        <v>158</v>
      </c>
      <c r="F186" s="13" t="s">
        <v>55</v>
      </c>
      <c r="G186" s="14" t="s">
        <v>653</v>
      </c>
    </row>
    <row r="187" customFormat="false" ht="15" hidden="false" customHeight="false" outlineLevel="0" collapsed="false">
      <c r="A187" s="11" t="n">
        <v>2</v>
      </c>
      <c r="B187" s="12" t="s">
        <v>51</v>
      </c>
      <c r="C187" s="13" t="s">
        <v>654</v>
      </c>
      <c r="D187" s="13" t="s">
        <v>655</v>
      </c>
      <c r="E187" s="11" t="s">
        <v>492</v>
      </c>
      <c r="F187" s="13" t="s">
        <v>656</v>
      </c>
      <c r="G187" s="14" t="s">
        <v>657</v>
      </c>
    </row>
    <row r="188" customFormat="false" ht="15" hidden="false" customHeight="false" outlineLevel="0" collapsed="false">
      <c r="A188" s="11" t="n">
        <v>2</v>
      </c>
      <c r="B188" s="12" t="s">
        <v>51</v>
      </c>
      <c r="C188" s="13" t="s">
        <v>658</v>
      </c>
      <c r="D188" s="13" t="s">
        <v>659</v>
      </c>
      <c r="E188" s="11" t="s">
        <v>120</v>
      </c>
      <c r="F188" s="13" t="s">
        <v>82</v>
      </c>
      <c r="G188" s="14" t="s">
        <v>660</v>
      </c>
    </row>
    <row r="189" customFormat="false" ht="15" hidden="false" customHeight="false" outlineLevel="0" collapsed="false">
      <c r="A189" s="11" t="n">
        <v>2</v>
      </c>
      <c r="B189" s="12" t="s">
        <v>51</v>
      </c>
      <c r="C189" s="13" t="s">
        <v>661</v>
      </c>
      <c r="D189" s="13" t="s">
        <v>662</v>
      </c>
      <c r="E189" s="11" t="s">
        <v>233</v>
      </c>
      <c r="F189" s="13" t="s">
        <v>82</v>
      </c>
      <c r="G189" s="14" t="s">
        <v>663</v>
      </c>
    </row>
    <row r="190" customFormat="false" ht="15" hidden="false" customHeight="false" outlineLevel="0" collapsed="false">
      <c r="A190" s="11" t="n">
        <v>2</v>
      </c>
      <c r="B190" s="12" t="s">
        <v>51</v>
      </c>
      <c r="C190" s="13" t="s">
        <v>664</v>
      </c>
      <c r="D190" s="13" t="s">
        <v>665</v>
      </c>
      <c r="E190" s="11" t="s">
        <v>634</v>
      </c>
      <c r="F190" s="13" t="s">
        <v>55</v>
      </c>
      <c r="G190" s="14" t="s">
        <v>666</v>
      </c>
    </row>
    <row r="191" customFormat="false" ht="15" hidden="false" customHeight="false" outlineLevel="0" collapsed="false">
      <c r="A191" s="11" t="n">
        <v>2</v>
      </c>
      <c r="B191" s="12" t="s">
        <v>51</v>
      </c>
      <c r="C191" s="13" t="s">
        <v>667</v>
      </c>
      <c r="D191" s="13" t="s">
        <v>628</v>
      </c>
      <c r="E191" s="11" t="s">
        <v>233</v>
      </c>
      <c r="F191" s="13" t="s">
        <v>125</v>
      </c>
      <c r="G191" s="14" t="s">
        <v>668</v>
      </c>
    </row>
    <row r="192" customFormat="false" ht="15" hidden="false" customHeight="false" outlineLevel="0" collapsed="false">
      <c r="A192" s="11" t="n">
        <v>2</v>
      </c>
      <c r="B192" s="12" t="s">
        <v>51</v>
      </c>
      <c r="C192" s="13" t="s">
        <v>669</v>
      </c>
      <c r="D192" s="13" t="s">
        <v>541</v>
      </c>
      <c r="E192" s="11" t="s">
        <v>598</v>
      </c>
      <c r="F192" s="13" t="s">
        <v>656</v>
      </c>
      <c r="G192" s="14" t="s">
        <v>670</v>
      </c>
    </row>
    <row r="193" customFormat="false" ht="15" hidden="false" customHeight="false" outlineLevel="0" collapsed="false">
      <c r="A193" s="15" t="n">
        <v>2</v>
      </c>
      <c r="B193" s="16" t="s">
        <v>26</v>
      </c>
      <c r="C193" s="17" t="s">
        <v>671</v>
      </c>
      <c r="D193" s="17" t="s">
        <v>672</v>
      </c>
      <c r="E193" s="15" t="s">
        <v>245</v>
      </c>
      <c r="F193" s="17" t="s">
        <v>55</v>
      </c>
      <c r="G193" s="18" t="s">
        <v>673</v>
      </c>
    </row>
    <row r="194" customFormat="false" ht="15" hidden="false" customHeight="false" outlineLevel="0" collapsed="false">
      <c r="A194" s="15" t="n">
        <v>2</v>
      </c>
      <c r="B194" s="16" t="s">
        <v>26</v>
      </c>
      <c r="C194" s="17" t="s">
        <v>674</v>
      </c>
      <c r="D194" s="17" t="s">
        <v>675</v>
      </c>
      <c r="E194" s="15" t="s">
        <v>245</v>
      </c>
      <c r="F194" s="17" t="s">
        <v>676</v>
      </c>
      <c r="G194" s="18" t="s">
        <v>677</v>
      </c>
    </row>
    <row r="195" customFormat="false" ht="15" hidden="false" customHeight="false" outlineLevel="0" collapsed="false">
      <c r="A195" s="15" t="n">
        <v>2</v>
      </c>
      <c r="B195" s="16" t="s">
        <v>26</v>
      </c>
      <c r="C195" s="17" t="s">
        <v>678</v>
      </c>
      <c r="D195" s="17" t="s">
        <v>679</v>
      </c>
      <c r="E195" s="15" t="s">
        <v>249</v>
      </c>
      <c r="F195" s="17" t="s">
        <v>680</v>
      </c>
      <c r="G195" s="18" t="s">
        <v>681</v>
      </c>
    </row>
    <row r="196" customFormat="false" ht="15" hidden="false" customHeight="false" outlineLevel="0" collapsed="false">
      <c r="A196" s="15" t="n">
        <v>2</v>
      </c>
      <c r="B196" s="16" t="s">
        <v>26</v>
      </c>
      <c r="C196" s="17" t="s">
        <v>682</v>
      </c>
      <c r="D196" s="17" t="s">
        <v>683</v>
      </c>
      <c r="E196" s="15" t="s">
        <v>406</v>
      </c>
      <c r="F196" s="17" t="s">
        <v>656</v>
      </c>
      <c r="G196" s="18" t="s">
        <v>684</v>
      </c>
    </row>
    <row r="197" customFormat="false" ht="15" hidden="false" customHeight="false" outlineLevel="0" collapsed="false">
      <c r="A197" s="15" t="n">
        <v>2</v>
      </c>
      <c r="B197" s="16" t="s">
        <v>26</v>
      </c>
      <c r="C197" s="17" t="s">
        <v>685</v>
      </c>
      <c r="D197" s="17" t="s">
        <v>686</v>
      </c>
      <c r="E197" s="15" t="s">
        <v>294</v>
      </c>
      <c r="F197" s="17" t="s">
        <v>687</v>
      </c>
      <c r="G197" s="18" t="s">
        <v>688</v>
      </c>
    </row>
    <row r="198" customFormat="false" ht="15" hidden="false" customHeight="false" outlineLevel="0" collapsed="false">
      <c r="A198" s="15" t="n">
        <v>2</v>
      </c>
      <c r="B198" s="16" t="s">
        <v>26</v>
      </c>
      <c r="C198" s="17" t="s">
        <v>689</v>
      </c>
      <c r="D198" s="17" t="s">
        <v>690</v>
      </c>
      <c r="E198" s="15" t="s">
        <v>245</v>
      </c>
      <c r="F198" s="17" t="s">
        <v>69</v>
      </c>
      <c r="G198" s="18" t="s">
        <v>691</v>
      </c>
    </row>
    <row r="199" customFormat="false" ht="15" hidden="false" customHeight="false" outlineLevel="0" collapsed="false">
      <c r="A199" s="15" t="n">
        <v>2</v>
      </c>
      <c r="B199" s="16" t="s">
        <v>26</v>
      </c>
      <c r="C199" s="17" t="s">
        <v>692</v>
      </c>
      <c r="D199" s="17" t="s">
        <v>693</v>
      </c>
      <c r="E199" s="15" t="s">
        <v>310</v>
      </c>
      <c r="F199" s="17" t="s">
        <v>55</v>
      </c>
      <c r="G199" s="18" t="s">
        <v>694</v>
      </c>
    </row>
    <row r="200" customFormat="false" ht="15" hidden="false" customHeight="false" outlineLevel="0" collapsed="false">
      <c r="A200" s="15" t="n">
        <v>2</v>
      </c>
      <c r="B200" s="16" t="s">
        <v>26</v>
      </c>
      <c r="C200" s="17" t="s">
        <v>695</v>
      </c>
      <c r="D200" s="17" t="s">
        <v>696</v>
      </c>
      <c r="E200" s="15" t="s">
        <v>310</v>
      </c>
      <c r="F200" s="17" t="s">
        <v>55</v>
      </c>
      <c r="G200" s="18" t="s">
        <v>697</v>
      </c>
    </row>
    <row r="201" customFormat="false" ht="15" hidden="false" customHeight="false" outlineLevel="0" collapsed="false">
      <c r="A201" s="15" t="n">
        <v>2</v>
      </c>
      <c r="B201" s="16" t="s">
        <v>26</v>
      </c>
      <c r="C201" s="17" t="s">
        <v>698</v>
      </c>
      <c r="D201" s="17" t="s">
        <v>699</v>
      </c>
      <c r="E201" s="15" t="s">
        <v>245</v>
      </c>
      <c r="F201" s="17" t="s">
        <v>55</v>
      </c>
      <c r="G201" s="18" t="s">
        <v>700</v>
      </c>
    </row>
    <row r="202" customFormat="false" ht="15" hidden="false" customHeight="false" outlineLevel="0" collapsed="false">
      <c r="A202" s="15" t="n">
        <v>2</v>
      </c>
      <c r="B202" s="16" t="s">
        <v>26</v>
      </c>
      <c r="C202" s="17" t="s">
        <v>701</v>
      </c>
      <c r="D202" s="17" t="s">
        <v>702</v>
      </c>
      <c r="E202" s="15" t="s">
        <v>245</v>
      </c>
      <c r="F202" s="17" t="s">
        <v>55</v>
      </c>
      <c r="G202" s="18" t="s">
        <v>703</v>
      </c>
    </row>
    <row r="203" customFormat="false" ht="15" hidden="false" customHeight="false" outlineLevel="0" collapsed="false">
      <c r="A203" s="15" t="n">
        <v>2</v>
      </c>
      <c r="B203" s="16" t="s">
        <v>26</v>
      </c>
      <c r="C203" s="17" t="s">
        <v>704</v>
      </c>
      <c r="D203" s="17" t="s">
        <v>705</v>
      </c>
      <c r="E203" s="15" t="s">
        <v>256</v>
      </c>
      <c r="F203" s="17" t="s">
        <v>706</v>
      </c>
      <c r="G203" s="18" t="s">
        <v>707</v>
      </c>
    </row>
    <row r="204" customFormat="false" ht="15" hidden="false" customHeight="false" outlineLevel="0" collapsed="false">
      <c r="A204" s="15" t="n">
        <v>2</v>
      </c>
      <c r="B204" s="16" t="s">
        <v>26</v>
      </c>
      <c r="C204" s="17" t="s">
        <v>708</v>
      </c>
      <c r="D204" s="17" t="s">
        <v>709</v>
      </c>
      <c r="E204" s="15" t="s">
        <v>310</v>
      </c>
      <c r="F204" s="17" t="s">
        <v>357</v>
      </c>
      <c r="G204" s="18" t="s">
        <v>710</v>
      </c>
    </row>
    <row r="205" customFormat="false" ht="15" hidden="false" customHeight="false" outlineLevel="0" collapsed="false">
      <c r="A205" s="15" t="n">
        <v>2</v>
      </c>
      <c r="B205" s="16" t="s">
        <v>26</v>
      </c>
      <c r="C205" s="17" t="s">
        <v>711</v>
      </c>
      <c r="D205" s="17" t="s">
        <v>712</v>
      </c>
      <c r="E205" s="15" t="s">
        <v>245</v>
      </c>
      <c r="F205" s="17" t="s">
        <v>82</v>
      </c>
      <c r="G205" s="18" t="s">
        <v>713</v>
      </c>
    </row>
    <row r="206" customFormat="false" ht="15" hidden="false" customHeight="false" outlineLevel="0" collapsed="false">
      <c r="A206" s="15" t="n">
        <v>2</v>
      </c>
      <c r="B206" s="16" t="s">
        <v>26</v>
      </c>
      <c r="C206" s="17" t="s">
        <v>714</v>
      </c>
      <c r="D206" s="17" t="s">
        <v>715</v>
      </c>
      <c r="E206" s="15" t="s">
        <v>310</v>
      </c>
      <c r="F206" s="17" t="s">
        <v>55</v>
      </c>
      <c r="G206" s="18" t="s">
        <v>716</v>
      </c>
    </row>
    <row r="207" customFormat="false" ht="15" hidden="false" customHeight="false" outlineLevel="0" collapsed="false">
      <c r="A207" s="15" t="n">
        <v>2</v>
      </c>
      <c r="B207" s="16" t="s">
        <v>26</v>
      </c>
      <c r="C207" s="17" t="s">
        <v>717</v>
      </c>
      <c r="D207" s="17" t="s">
        <v>718</v>
      </c>
      <c r="E207" s="15" t="s">
        <v>310</v>
      </c>
      <c r="F207" s="17" t="s">
        <v>719</v>
      </c>
      <c r="G207" s="18" t="s">
        <v>720</v>
      </c>
    </row>
    <row r="208" customFormat="false" ht="15" hidden="false" customHeight="false" outlineLevel="0" collapsed="false">
      <c r="A208" s="15" t="n">
        <v>2</v>
      </c>
      <c r="B208" s="16" t="s">
        <v>26</v>
      </c>
      <c r="C208" s="17" t="s">
        <v>721</v>
      </c>
      <c r="D208" s="17" t="s">
        <v>722</v>
      </c>
      <c r="E208" s="15" t="s">
        <v>256</v>
      </c>
      <c r="F208" s="17" t="s">
        <v>723</v>
      </c>
      <c r="G208" s="18" t="s">
        <v>724</v>
      </c>
    </row>
    <row r="209" customFormat="false" ht="15" hidden="false" customHeight="false" outlineLevel="0" collapsed="false">
      <c r="A209" s="15" t="n">
        <v>2</v>
      </c>
      <c r="B209" s="16" t="s">
        <v>26</v>
      </c>
      <c r="C209" s="17" t="s">
        <v>725</v>
      </c>
      <c r="D209" s="17" t="s">
        <v>726</v>
      </c>
      <c r="E209" s="15" t="s">
        <v>324</v>
      </c>
      <c r="F209" s="17" t="s">
        <v>706</v>
      </c>
      <c r="G209" s="18" t="s">
        <v>727</v>
      </c>
    </row>
    <row r="210" customFormat="false" ht="15" hidden="false" customHeight="false" outlineLevel="0" collapsed="false">
      <c r="A210" s="15" t="n">
        <v>2</v>
      </c>
      <c r="B210" s="16" t="s">
        <v>26</v>
      </c>
      <c r="C210" s="17" t="s">
        <v>728</v>
      </c>
      <c r="D210" s="17" t="s">
        <v>729</v>
      </c>
      <c r="E210" s="15" t="s">
        <v>310</v>
      </c>
      <c r="F210" s="17" t="s">
        <v>272</v>
      </c>
      <c r="G210" s="18" t="s">
        <v>730</v>
      </c>
    </row>
    <row r="211" customFormat="false" ht="15" hidden="false" customHeight="false" outlineLevel="0" collapsed="false">
      <c r="A211" s="15" t="n">
        <v>2</v>
      </c>
      <c r="B211" s="16" t="s">
        <v>26</v>
      </c>
      <c r="C211" s="17" t="s">
        <v>731</v>
      </c>
      <c r="D211" s="17" t="s">
        <v>732</v>
      </c>
      <c r="E211" s="15" t="s">
        <v>245</v>
      </c>
      <c r="F211" s="17" t="s">
        <v>69</v>
      </c>
      <c r="G211" s="18" t="s">
        <v>733</v>
      </c>
    </row>
    <row r="212" customFormat="false" ht="15" hidden="false" customHeight="false" outlineLevel="0" collapsed="false">
      <c r="A212" s="15" t="n">
        <v>2</v>
      </c>
      <c r="B212" s="16" t="s">
        <v>26</v>
      </c>
      <c r="C212" s="17" t="s">
        <v>734</v>
      </c>
      <c r="D212" s="17" t="s">
        <v>735</v>
      </c>
      <c r="E212" s="15" t="s">
        <v>310</v>
      </c>
      <c r="F212" s="17" t="s">
        <v>55</v>
      </c>
      <c r="G212" s="18" t="s">
        <v>736</v>
      </c>
    </row>
    <row r="213" customFormat="false" ht="15" hidden="false" customHeight="false" outlineLevel="0" collapsed="false">
      <c r="A213" s="15" t="n">
        <v>2</v>
      </c>
      <c r="B213" s="16" t="s">
        <v>26</v>
      </c>
      <c r="C213" s="17" t="s">
        <v>737</v>
      </c>
      <c r="D213" s="17" t="s">
        <v>263</v>
      </c>
      <c r="E213" s="15" t="s">
        <v>468</v>
      </c>
      <c r="F213" s="17" t="s">
        <v>125</v>
      </c>
      <c r="G213" s="18" t="s">
        <v>738</v>
      </c>
    </row>
    <row r="214" customFormat="false" ht="15" hidden="false" customHeight="false" outlineLevel="0" collapsed="false">
      <c r="A214" s="15" t="n">
        <v>2</v>
      </c>
      <c r="B214" s="16" t="s">
        <v>26</v>
      </c>
      <c r="C214" s="17" t="s">
        <v>739</v>
      </c>
      <c r="D214" s="17" t="s">
        <v>740</v>
      </c>
      <c r="E214" s="15" t="s">
        <v>256</v>
      </c>
      <c r="F214" s="17" t="s">
        <v>82</v>
      </c>
      <c r="G214" s="18" t="s">
        <v>741</v>
      </c>
    </row>
    <row r="215" customFormat="false" ht="15" hidden="false" customHeight="false" outlineLevel="0" collapsed="false">
      <c r="A215" s="15" t="n">
        <v>2</v>
      </c>
      <c r="B215" s="16" t="s">
        <v>26</v>
      </c>
      <c r="C215" s="17" t="s">
        <v>742</v>
      </c>
      <c r="D215" s="17" t="s">
        <v>683</v>
      </c>
      <c r="E215" s="15" t="s">
        <v>294</v>
      </c>
      <c r="F215" s="17" t="s">
        <v>656</v>
      </c>
      <c r="G215" s="18" t="s">
        <v>743</v>
      </c>
    </row>
    <row r="216" customFormat="false" ht="15" hidden="false" customHeight="false" outlineLevel="0" collapsed="false">
      <c r="A216" s="15" t="n">
        <v>2</v>
      </c>
      <c r="B216" s="16" t="s">
        <v>26</v>
      </c>
      <c r="C216" s="17" t="s">
        <v>744</v>
      </c>
      <c r="D216" s="17" t="s">
        <v>683</v>
      </c>
      <c r="E216" s="15" t="s">
        <v>324</v>
      </c>
      <c r="F216" s="17" t="s">
        <v>656</v>
      </c>
      <c r="G216" s="18" t="s">
        <v>745</v>
      </c>
    </row>
    <row r="217" customFormat="false" ht="15" hidden="false" customHeight="false" outlineLevel="0" collapsed="false">
      <c r="A217" s="15" t="n">
        <v>2</v>
      </c>
      <c r="B217" s="16" t="s">
        <v>26</v>
      </c>
      <c r="C217" s="17" t="s">
        <v>746</v>
      </c>
      <c r="D217" s="17" t="s">
        <v>747</v>
      </c>
      <c r="E217" s="15" t="s">
        <v>256</v>
      </c>
      <c r="F217" s="17" t="s">
        <v>125</v>
      </c>
      <c r="G217" s="18" t="s">
        <v>748</v>
      </c>
    </row>
    <row r="218" customFormat="false" ht="15" hidden="false" customHeight="false" outlineLevel="0" collapsed="false">
      <c r="A218" s="15" t="n">
        <v>2</v>
      </c>
      <c r="B218" s="16" t="s">
        <v>26</v>
      </c>
      <c r="C218" s="17" t="s">
        <v>749</v>
      </c>
      <c r="D218" s="17" t="s">
        <v>750</v>
      </c>
      <c r="E218" s="15" t="s">
        <v>256</v>
      </c>
      <c r="F218" s="17" t="s">
        <v>357</v>
      </c>
      <c r="G218" s="18" t="s">
        <v>751</v>
      </c>
    </row>
    <row r="219" customFormat="false" ht="15" hidden="false" customHeight="false" outlineLevel="0" collapsed="false">
      <c r="A219" s="15" t="n">
        <v>2</v>
      </c>
      <c r="B219" s="16" t="s">
        <v>26</v>
      </c>
      <c r="C219" s="17" t="s">
        <v>752</v>
      </c>
      <c r="D219" s="17" t="s">
        <v>753</v>
      </c>
      <c r="E219" s="15" t="s">
        <v>245</v>
      </c>
      <c r="F219" s="17" t="s">
        <v>55</v>
      </c>
      <c r="G219" s="18" t="s">
        <v>754</v>
      </c>
    </row>
    <row r="220" customFormat="false" ht="15" hidden="false" customHeight="false" outlineLevel="0" collapsed="false">
      <c r="A220" s="15" t="n">
        <v>2</v>
      </c>
      <c r="B220" s="16" t="s">
        <v>26</v>
      </c>
      <c r="C220" s="17" t="s">
        <v>755</v>
      </c>
      <c r="D220" s="17" t="s">
        <v>756</v>
      </c>
      <c r="E220" s="15" t="s">
        <v>310</v>
      </c>
      <c r="F220" s="17" t="s">
        <v>656</v>
      </c>
      <c r="G220" s="18" t="s">
        <v>757</v>
      </c>
    </row>
    <row r="221" customFormat="false" ht="15" hidden="false" customHeight="false" outlineLevel="0" collapsed="false">
      <c r="A221" s="15" t="n">
        <v>2</v>
      </c>
      <c r="B221" s="16" t="s">
        <v>26</v>
      </c>
      <c r="C221" s="17" t="s">
        <v>758</v>
      </c>
      <c r="D221" s="17" t="s">
        <v>759</v>
      </c>
      <c r="E221" s="15" t="s">
        <v>310</v>
      </c>
      <c r="F221" s="17" t="s">
        <v>138</v>
      </c>
      <c r="G221" s="18" t="s">
        <v>757</v>
      </c>
    </row>
    <row r="222" customFormat="false" ht="15" hidden="false" customHeight="false" outlineLevel="0" collapsed="false">
      <c r="A222" s="15" t="n">
        <v>2</v>
      </c>
      <c r="B222" s="16" t="s">
        <v>26</v>
      </c>
      <c r="C222" s="17" t="s">
        <v>760</v>
      </c>
      <c r="D222" s="17" t="s">
        <v>263</v>
      </c>
      <c r="E222" s="15" t="s">
        <v>761</v>
      </c>
      <c r="F222" s="17" t="s">
        <v>125</v>
      </c>
      <c r="G222" s="18" t="s">
        <v>762</v>
      </c>
    </row>
    <row r="223" customFormat="false" ht="15" hidden="false" customHeight="false" outlineLevel="0" collapsed="false">
      <c r="A223" s="15" t="n">
        <v>2</v>
      </c>
      <c r="B223" s="16" t="s">
        <v>26</v>
      </c>
      <c r="C223" s="17" t="s">
        <v>763</v>
      </c>
      <c r="D223" s="17" t="s">
        <v>764</v>
      </c>
      <c r="E223" s="15" t="s">
        <v>256</v>
      </c>
      <c r="F223" s="17" t="s">
        <v>65</v>
      </c>
      <c r="G223" s="18" t="s">
        <v>765</v>
      </c>
    </row>
    <row r="224" customFormat="false" ht="15" hidden="false" customHeight="false" outlineLevel="0" collapsed="false">
      <c r="A224" s="15" t="n">
        <v>2</v>
      </c>
      <c r="B224" s="16" t="s">
        <v>26</v>
      </c>
      <c r="C224" s="17" t="s">
        <v>766</v>
      </c>
      <c r="D224" s="17" t="s">
        <v>767</v>
      </c>
      <c r="E224" s="15" t="s">
        <v>245</v>
      </c>
      <c r="F224" s="17" t="s">
        <v>768</v>
      </c>
      <c r="G224" s="18" t="s">
        <v>769</v>
      </c>
    </row>
    <row r="225" customFormat="false" ht="15" hidden="false" customHeight="false" outlineLevel="0" collapsed="false">
      <c r="A225" s="15" t="n">
        <v>2</v>
      </c>
      <c r="B225" s="16" t="s">
        <v>26</v>
      </c>
      <c r="C225" s="17" t="s">
        <v>770</v>
      </c>
      <c r="D225" s="17" t="s">
        <v>771</v>
      </c>
      <c r="E225" s="15" t="s">
        <v>324</v>
      </c>
      <c r="F225" s="17" t="s">
        <v>357</v>
      </c>
      <c r="G225" s="18" t="s">
        <v>772</v>
      </c>
    </row>
    <row r="226" customFormat="false" ht="15" hidden="false" customHeight="false" outlineLevel="0" collapsed="false">
      <c r="A226" s="15" t="n">
        <v>2</v>
      </c>
      <c r="B226" s="16" t="s">
        <v>26</v>
      </c>
      <c r="C226" s="17" t="s">
        <v>773</v>
      </c>
      <c r="D226" s="17" t="s">
        <v>774</v>
      </c>
      <c r="E226" s="15" t="s">
        <v>249</v>
      </c>
      <c r="F226" s="17" t="s">
        <v>55</v>
      </c>
      <c r="G226" s="18" t="s">
        <v>775</v>
      </c>
    </row>
    <row r="227" customFormat="false" ht="15" hidden="false" customHeight="false" outlineLevel="0" collapsed="false">
      <c r="A227" s="15" t="n">
        <v>2</v>
      </c>
      <c r="B227" s="16" t="s">
        <v>26</v>
      </c>
      <c r="C227" s="17" t="s">
        <v>776</v>
      </c>
      <c r="D227" s="17" t="s">
        <v>293</v>
      </c>
      <c r="E227" s="15" t="s">
        <v>310</v>
      </c>
      <c r="F227" s="17" t="s">
        <v>55</v>
      </c>
      <c r="G227" s="18" t="s">
        <v>777</v>
      </c>
    </row>
    <row r="228" customFormat="false" ht="15" hidden="false" customHeight="false" outlineLevel="0" collapsed="false">
      <c r="A228" s="15" t="n">
        <v>2</v>
      </c>
      <c r="B228" s="16" t="s">
        <v>26</v>
      </c>
      <c r="C228" s="17" t="s">
        <v>778</v>
      </c>
      <c r="D228" s="17" t="s">
        <v>779</v>
      </c>
      <c r="E228" s="15" t="s">
        <v>256</v>
      </c>
      <c r="F228" s="17" t="s">
        <v>780</v>
      </c>
      <c r="G228" s="18" t="s">
        <v>781</v>
      </c>
    </row>
    <row r="229" customFormat="false" ht="15" hidden="false" customHeight="false" outlineLevel="0" collapsed="false">
      <c r="A229" s="15" t="n">
        <v>2</v>
      </c>
      <c r="B229" s="16" t="s">
        <v>26</v>
      </c>
      <c r="C229" s="17" t="s">
        <v>782</v>
      </c>
      <c r="D229" s="17" t="s">
        <v>683</v>
      </c>
      <c r="E229" s="15" t="s">
        <v>245</v>
      </c>
      <c r="F229" s="17" t="s">
        <v>783</v>
      </c>
      <c r="G229" s="18" t="s">
        <v>784</v>
      </c>
    </row>
    <row r="230" customFormat="false" ht="15" hidden="false" customHeight="false" outlineLevel="0" collapsed="false">
      <c r="A230" s="15" t="n">
        <v>2</v>
      </c>
      <c r="B230" s="16" t="s">
        <v>26</v>
      </c>
      <c r="C230" s="17" t="s">
        <v>785</v>
      </c>
      <c r="D230" s="17" t="s">
        <v>786</v>
      </c>
      <c r="E230" s="15" t="s">
        <v>310</v>
      </c>
      <c r="F230" s="17" t="s">
        <v>302</v>
      </c>
      <c r="G230" s="18" t="s">
        <v>787</v>
      </c>
    </row>
    <row r="231" customFormat="false" ht="15" hidden="false" customHeight="false" outlineLevel="0" collapsed="false">
      <c r="A231" s="15" t="n">
        <v>2</v>
      </c>
      <c r="B231" s="16" t="s">
        <v>26</v>
      </c>
      <c r="C231" s="17" t="s">
        <v>788</v>
      </c>
      <c r="D231" s="17" t="s">
        <v>789</v>
      </c>
      <c r="E231" s="15" t="s">
        <v>310</v>
      </c>
      <c r="F231" s="17" t="s">
        <v>55</v>
      </c>
      <c r="G231" s="18" t="s">
        <v>790</v>
      </c>
    </row>
    <row r="232" customFormat="false" ht="15" hidden="false" customHeight="false" outlineLevel="0" collapsed="false">
      <c r="A232" s="15" t="n">
        <v>2</v>
      </c>
      <c r="B232" s="16" t="s">
        <v>26</v>
      </c>
      <c r="C232" s="17" t="s">
        <v>791</v>
      </c>
      <c r="D232" s="17" t="s">
        <v>792</v>
      </c>
      <c r="E232" s="15" t="s">
        <v>294</v>
      </c>
      <c r="F232" s="17" t="s">
        <v>69</v>
      </c>
      <c r="G232" s="18" t="s">
        <v>793</v>
      </c>
    </row>
    <row r="233" customFormat="false" ht="15" hidden="false" customHeight="false" outlineLevel="0" collapsed="false">
      <c r="A233" s="15" t="n">
        <v>2</v>
      </c>
      <c r="B233" s="16" t="s">
        <v>26</v>
      </c>
      <c r="C233" s="17" t="s">
        <v>794</v>
      </c>
      <c r="D233" s="17" t="s">
        <v>795</v>
      </c>
      <c r="E233" s="15" t="s">
        <v>249</v>
      </c>
      <c r="F233" s="17" t="s">
        <v>82</v>
      </c>
      <c r="G233" s="18" t="s">
        <v>796</v>
      </c>
    </row>
    <row r="234" customFormat="false" ht="15" hidden="false" customHeight="false" outlineLevel="0" collapsed="false">
      <c r="A234" s="15" t="n">
        <v>2</v>
      </c>
      <c r="B234" s="16" t="s">
        <v>26</v>
      </c>
      <c r="C234" s="17" t="s">
        <v>797</v>
      </c>
      <c r="D234" s="17" t="s">
        <v>798</v>
      </c>
      <c r="E234" s="15" t="s">
        <v>310</v>
      </c>
      <c r="F234" s="17" t="s">
        <v>799</v>
      </c>
      <c r="G234" s="18" t="s">
        <v>800</v>
      </c>
    </row>
    <row r="235" customFormat="false" ht="15" hidden="false" customHeight="false" outlineLevel="0" collapsed="false">
      <c r="A235" s="15" t="n">
        <v>2</v>
      </c>
      <c r="B235" s="16" t="s">
        <v>26</v>
      </c>
      <c r="C235" s="17" t="s">
        <v>801</v>
      </c>
      <c r="D235" s="17" t="s">
        <v>802</v>
      </c>
      <c r="E235" s="15" t="s">
        <v>310</v>
      </c>
      <c r="F235" s="17" t="s">
        <v>55</v>
      </c>
      <c r="G235" s="18" t="s">
        <v>803</v>
      </c>
    </row>
    <row r="236" customFormat="false" ht="15" hidden="false" customHeight="false" outlineLevel="0" collapsed="false">
      <c r="A236" s="15" t="n">
        <v>2</v>
      </c>
      <c r="B236" s="16" t="s">
        <v>26</v>
      </c>
      <c r="C236" s="17" t="s">
        <v>804</v>
      </c>
      <c r="D236" s="17" t="s">
        <v>683</v>
      </c>
      <c r="E236" s="15" t="s">
        <v>495</v>
      </c>
      <c r="F236" s="17" t="s">
        <v>656</v>
      </c>
      <c r="G236" s="18" t="s">
        <v>805</v>
      </c>
    </row>
    <row r="237" customFormat="false" ht="15" hidden="false" customHeight="false" outlineLevel="0" collapsed="false">
      <c r="A237" s="19" t="n">
        <v>2</v>
      </c>
      <c r="B237" s="20" t="s">
        <v>396</v>
      </c>
      <c r="C237" s="21" t="s">
        <v>806</v>
      </c>
      <c r="D237" s="21" t="s">
        <v>807</v>
      </c>
      <c r="E237" s="19" t="s">
        <v>808</v>
      </c>
      <c r="F237" s="21" t="s">
        <v>55</v>
      </c>
      <c r="G237" s="22" t="s">
        <v>809</v>
      </c>
    </row>
    <row r="238" customFormat="false" ht="15" hidden="false" customHeight="false" outlineLevel="0" collapsed="false">
      <c r="A238" s="19" t="n">
        <v>2</v>
      </c>
      <c r="B238" s="20" t="s">
        <v>396</v>
      </c>
      <c r="C238" s="21" t="s">
        <v>810</v>
      </c>
      <c r="D238" s="21" t="s">
        <v>365</v>
      </c>
      <c r="E238" s="19" t="s">
        <v>811</v>
      </c>
      <c r="F238" s="21" t="s">
        <v>125</v>
      </c>
      <c r="G238" s="22" t="s">
        <v>812</v>
      </c>
    </row>
    <row r="239" customFormat="false" ht="15" hidden="false" customHeight="false" outlineLevel="0" collapsed="false">
      <c r="A239" s="19" t="n">
        <v>2</v>
      </c>
      <c r="B239" s="20" t="s">
        <v>396</v>
      </c>
      <c r="C239" s="21" t="s">
        <v>813</v>
      </c>
      <c r="D239" s="21" t="s">
        <v>814</v>
      </c>
      <c r="E239" s="19" t="s">
        <v>324</v>
      </c>
      <c r="F239" s="21" t="s">
        <v>55</v>
      </c>
      <c r="G239" s="22" t="s">
        <v>815</v>
      </c>
    </row>
    <row r="240" customFormat="false" ht="15" hidden="false" customHeight="false" outlineLevel="0" collapsed="false">
      <c r="A240" s="19" t="n">
        <v>2</v>
      </c>
      <c r="B240" s="20" t="s">
        <v>396</v>
      </c>
      <c r="C240" s="21" t="s">
        <v>816</v>
      </c>
      <c r="D240" s="21" t="s">
        <v>817</v>
      </c>
      <c r="E240" s="19" t="s">
        <v>818</v>
      </c>
      <c r="F240" s="21" t="s">
        <v>55</v>
      </c>
      <c r="G240" s="22" t="s">
        <v>819</v>
      </c>
    </row>
    <row r="241" customFormat="false" ht="15" hidden="false" customHeight="false" outlineLevel="0" collapsed="false">
      <c r="A241" s="19" t="n">
        <v>2</v>
      </c>
      <c r="B241" s="20" t="s">
        <v>396</v>
      </c>
      <c r="C241" s="21" t="s">
        <v>820</v>
      </c>
      <c r="D241" s="21" t="s">
        <v>821</v>
      </c>
      <c r="E241" s="19" t="s">
        <v>492</v>
      </c>
      <c r="F241" s="21" t="s">
        <v>82</v>
      </c>
      <c r="G241" s="22" t="s">
        <v>822</v>
      </c>
    </row>
    <row r="242" customFormat="false" ht="15" hidden="false" customHeight="false" outlineLevel="0" collapsed="false">
      <c r="A242" s="19" t="n">
        <v>2</v>
      </c>
      <c r="B242" s="20" t="s">
        <v>396</v>
      </c>
      <c r="C242" s="21" t="s">
        <v>823</v>
      </c>
      <c r="D242" s="21" t="s">
        <v>824</v>
      </c>
      <c r="E242" s="19" t="s">
        <v>324</v>
      </c>
      <c r="F242" s="21" t="s">
        <v>768</v>
      </c>
      <c r="G242" s="22" t="s">
        <v>825</v>
      </c>
    </row>
    <row r="243" customFormat="false" ht="15" hidden="false" customHeight="false" outlineLevel="0" collapsed="false">
      <c r="A243" s="19" t="n">
        <v>2</v>
      </c>
      <c r="B243" s="20" t="s">
        <v>396</v>
      </c>
      <c r="C243" s="21" t="s">
        <v>826</v>
      </c>
      <c r="D243" s="21" t="s">
        <v>523</v>
      </c>
      <c r="E243" s="19" t="s">
        <v>827</v>
      </c>
      <c r="F243" s="21" t="s">
        <v>55</v>
      </c>
      <c r="G243" s="22" t="s">
        <v>828</v>
      </c>
    </row>
    <row r="244" customFormat="false" ht="15" hidden="false" customHeight="false" outlineLevel="0" collapsed="false">
      <c r="A244" s="19" t="n">
        <v>2</v>
      </c>
      <c r="B244" s="20" t="s">
        <v>396</v>
      </c>
      <c r="C244" s="21" t="s">
        <v>829</v>
      </c>
      <c r="D244" s="21" t="s">
        <v>830</v>
      </c>
      <c r="E244" s="19" t="s">
        <v>831</v>
      </c>
      <c r="F244" s="21" t="s">
        <v>55</v>
      </c>
      <c r="G244" s="22" t="s">
        <v>832</v>
      </c>
    </row>
    <row r="245" customFormat="false" ht="15" hidden="false" customHeight="false" outlineLevel="0" collapsed="false">
      <c r="A245" s="19" t="n">
        <v>2</v>
      </c>
      <c r="B245" s="20" t="s">
        <v>396</v>
      </c>
      <c r="C245" s="21" t="s">
        <v>833</v>
      </c>
      <c r="D245" s="21" t="s">
        <v>365</v>
      </c>
      <c r="E245" s="19" t="s">
        <v>468</v>
      </c>
      <c r="F245" s="21" t="s">
        <v>125</v>
      </c>
      <c r="G245" s="22" t="s">
        <v>834</v>
      </c>
    </row>
    <row r="246" customFormat="false" ht="15" hidden="false" customHeight="false" outlineLevel="0" collapsed="false">
      <c r="A246" s="19" t="n">
        <v>2</v>
      </c>
      <c r="B246" s="20" t="s">
        <v>396</v>
      </c>
      <c r="C246" s="21" t="s">
        <v>835</v>
      </c>
      <c r="D246" s="21" t="s">
        <v>836</v>
      </c>
      <c r="E246" s="19" t="s">
        <v>245</v>
      </c>
      <c r="F246" s="21" t="s">
        <v>55</v>
      </c>
      <c r="G246" s="22" t="s">
        <v>837</v>
      </c>
    </row>
    <row r="247" customFormat="false" ht="15" hidden="false" customHeight="false" outlineLevel="0" collapsed="false">
      <c r="A247" s="19" t="n">
        <v>2</v>
      </c>
      <c r="B247" s="20" t="s">
        <v>396</v>
      </c>
      <c r="C247" s="21" t="s">
        <v>838</v>
      </c>
      <c r="D247" s="21" t="s">
        <v>365</v>
      </c>
      <c r="E247" s="19" t="s">
        <v>839</v>
      </c>
      <c r="F247" s="21" t="s">
        <v>125</v>
      </c>
      <c r="G247" s="22" t="s">
        <v>840</v>
      </c>
    </row>
    <row r="248" customFormat="false" ht="15" hidden="false" customHeight="false" outlineLevel="0" collapsed="false">
      <c r="A248" s="19" t="n">
        <v>2</v>
      </c>
      <c r="B248" s="20" t="s">
        <v>396</v>
      </c>
      <c r="C248" s="21" t="s">
        <v>841</v>
      </c>
      <c r="D248" s="21" t="s">
        <v>842</v>
      </c>
      <c r="E248" s="19" t="s">
        <v>843</v>
      </c>
      <c r="F248" s="21" t="s">
        <v>125</v>
      </c>
      <c r="G248" s="22" t="s">
        <v>844</v>
      </c>
    </row>
    <row r="249" customFormat="false" ht="15" hidden="false" customHeight="false" outlineLevel="0" collapsed="false">
      <c r="A249" s="19" t="n">
        <v>2</v>
      </c>
      <c r="B249" s="20" t="s">
        <v>396</v>
      </c>
      <c r="C249" s="21" t="s">
        <v>845</v>
      </c>
      <c r="D249" s="21" t="s">
        <v>807</v>
      </c>
      <c r="E249" s="19" t="s">
        <v>846</v>
      </c>
      <c r="F249" s="21" t="s">
        <v>55</v>
      </c>
      <c r="G249" s="22" t="s">
        <v>847</v>
      </c>
    </row>
    <row r="250" customFormat="false" ht="15" hidden="false" customHeight="false" outlineLevel="0" collapsed="false">
      <c r="A250" s="19" t="n">
        <v>2</v>
      </c>
      <c r="B250" s="20" t="s">
        <v>396</v>
      </c>
      <c r="C250" s="21" t="s">
        <v>848</v>
      </c>
      <c r="D250" s="21" t="s">
        <v>849</v>
      </c>
      <c r="E250" s="19" t="s">
        <v>843</v>
      </c>
      <c r="F250" s="21" t="s">
        <v>55</v>
      </c>
      <c r="G250" s="22" t="s">
        <v>850</v>
      </c>
    </row>
    <row r="251" customFormat="false" ht="15" hidden="false" customHeight="false" outlineLevel="0" collapsed="false">
      <c r="A251" s="19" t="n">
        <v>2</v>
      </c>
      <c r="B251" s="20" t="s">
        <v>396</v>
      </c>
      <c r="C251" s="21" t="s">
        <v>851</v>
      </c>
      <c r="D251" s="21" t="s">
        <v>852</v>
      </c>
      <c r="E251" s="19" t="s">
        <v>459</v>
      </c>
      <c r="F251" s="21" t="s">
        <v>55</v>
      </c>
      <c r="G251" s="22" t="s">
        <v>853</v>
      </c>
    </row>
    <row r="252" customFormat="false" ht="15" hidden="false" customHeight="false" outlineLevel="0" collapsed="false">
      <c r="A252" s="19" t="n">
        <v>2</v>
      </c>
      <c r="B252" s="20" t="s">
        <v>396</v>
      </c>
      <c r="C252" s="21" t="s">
        <v>854</v>
      </c>
      <c r="D252" s="21" t="s">
        <v>586</v>
      </c>
      <c r="E252" s="19" t="s">
        <v>220</v>
      </c>
      <c r="F252" s="21" t="s">
        <v>82</v>
      </c>
      <c r="G252" s="22" t="s">
        <v>855</v>
      </c>
    </row>
    <row r="253" customFormat="false" ht="15" hidden="false" customHeight="false" outlineLevel="0" collapsed="false">
      <c r="A253" s="19" t="n">
        <v>2</v>
      </c>
      <c r="B253" s="20" t="s">
        <v>396</v>
      </c>
      <c r="C253" s="21" t="s">
        <v>856</v>
      </c>
      <c r="D253" s="21" t="s">
        <v>857</v>
      </c>
      <c r="E253" s="19" t="s">
        <v>858</v>
      </c>
      <c r="F253" s="21" t="s">
        <v>125</v>
      </c>
      <c r="G253" s="22" t="s">
        <v>859</v>
      </c>
    </row>
    <row r="254" customFormat="false" ht="15" hidden="false" customHeight="false" outlineLevel="0" collapsed="false">
      <c r="A254" s="19" t="n">
        <v>2</v>
      </c>
      <c r="B254" s="20" t="s">
        <v>396</v>
      </c>
      <c r="C254" s="21" t="s">
        <v>860</v>
      </c>
      <c r="D254" s="21" t="s">
        <v>842</v>
      </c>
      <c r="E254" s="19" t="s">
        <v>495</v>
      </c>
      <c r="F254" s="21" t="s">
        <v>125</v>
      </c>
      <c r="G254" s="22" t="s">
        <v>861</v>
      </c>
    </row>
    <row r="255" customFormat="false" ht="15" hidden="false" customHeight="false" outlineLevel="0" collapsed="false">
      <c r="A255" s="19" t="n">
        <v>2</v>
      </c>
      <c r="B255" s="20" t="s">
        <v>396</v>
      </c>
      <c r="C255" s="21" t="s">
        <v>862</v>
      </c>
      <c r="D255" s="21" t="s">
        <v>863</v>
      </c>
      <c r="E255" s="19" t="s">
        <v>818</v>
      </c>
      <c r="F255" s="21" t="s">
        <v>55</v>
      </c>
      <c r="G255" s="22" t="s">
        <v>864</v>
      </c>
    </row>
    <row r="256" customFormat="false" ht="15" hidden="false" customHeight="false" outlineLevel="0" collapsed="false">
      <c r="A256" s="19" t="n">
        <v>2</v>
      </c>
      <c r="B256" s="20" t="s">
        <v>396</v>
      </c>
      <c r="C256" s="21" t="s">
        <v>865</v>
      </c>
      <c r="D256" s="21" t="s">
        <v>365</v>
      </c>
      <c r="E256" s="19" t="s">
        <v>761</v>
      </c>
      <c r="F256" s="21" t="s">
        <v>125</v>
      </c>
      <c r="G256" s="22" t="s">
        <v>866</v>
      </c>
    </row>
    <row r="257" customFormat="false" ht="15" hidden="false" customHeight="false" outlineLevel="0" collapsed="false">
      <c r="A257" s="19" t="n">
        <v>2</v>
      </c>
      <c r="B257" s="20" t="s">
        <v>396</v>
      </c>
      <c r="C257" s="21" t="s">
        <v>867</v>
      </c>
      <c r="D257" s="21" t="s">
        <v>365</v>
      </c>
      <c r="E257" s="19" t="s">
        <v>808</v>
      </c>
      <c r="F257" s="21" t="s">
        <v>125</v>
      </c>
      <c r="G257" s="22" t="s">
        <v>868</v>
      </c>
    </row>
    <row r="258" customFormat="false" ht="15" hidden="false" customHeight="false" outlineLevel="0" collapsed="false">
      <c r="A258" s="19" t="n">
        <v>2</v>
      </c>
      <c r="B258" s="20" t="s">
        <v>396</v>
      </c>
      <c r="C258" s="21" t="s">
        <v>869</v>
      </c>
      <c r="D258" s="21" t="s">
        <v>870</v>
      </c>
      <c r="E258" s="19" t="s">
        <v>871</v>
      </c>
      <c r="F258" s="21" t="s">
        <v>82</v>
      </c>
      <c r="G258" s="22" t="s">
        <v>872</v>
      </c>
    </row>
    <row r="259" customFormat="false" ht="15" hidden="false" customHeight="false" outlineLevel="0" collapsed="false">
      <c r="A259" s="19" t="n">
        <v>2</v>
      </c>
      <c r="B259" s="20" t="s">
        <v>396</v>
      </c>
      <c r="C259" s="21" t="s">
        <v>873</v>
      </c>
      <c r="D259" s="21" t="s">
        <v>874</v>
      </c>
      <c r="E259" s="19" t="s">
        <v>875</v>
      </c>
      <c r="F259" s="21" t="s">
        <v>82</v>
      </c>
      <c r="G259" s="22" t="s">
        <v>876</v>
      </c>
    </row>
    <row r="260" customFormat="false" ht="15" hidden="false" customHeight="false" outlineLevel="0" collapsed="false">
      <c r="A260" s="19" t="n">
        <v>2</v>
      </c>
      <c r="B260" s="20" t="s">
        <v>396</v>
      </c>
      <c r="C260" s="21" t="s">
        <v>877</v>
      </c>
      <c r="D260" s="21" t="s">
        <v>878</v>
      </c>
      <c r="E260" s="19" t="s">
        <v>580</v>
      </c>
      <c r="F260" s="21" t="s">
        <v>55</v>
      </c>
      <c r="G260" s="22" t="s">
        <v>879</v>
      </c>
    </row>
    <row r="261" customFormat="false" ht="15" hidden="false" customHeight="false" outlineLevel="0" collapsed="false">
      <c r="A261" s="19" t="n">
        <v>2</v>
      </c>
      <c r="B261" s="20" t="s">
        <v>396</v>
      </c>
      <c r="C261" s="21" t="s">
        <v>880</v>
      </c>
      <c r="D261" s="21" t="s">
        <v>849</v>
      </c>
      <c r="E261" s="19" t="s">
        <v>306</v>
      </c>
      <c r="F261" s="21" t="s">
        <v>55</v>
      </c>
      <c r="G261" s="22" t="s">
        <v>881</v>
      </c>
    </row>
    <row r="262" customFormat="false" ht="15" hidden="false" customHeight="false" outlineLevel="0" collapsed="false">
      <c r="A262" s="19" t="n">
        <v>2</v>
      </c>
      <c r="B262" s="20" t="s">
        <v>396</v>
      </c>
      <c r="C262" s="21" t="s">
        <v>882</v>
      </c>
      <c r="D262" s="21" t="s">
        <v>883</v>
      </c>
      <c r="E262" s="19" t="s">
        <v>333</v>
      </c>
      <c r="F262" s="21" t="s">
        <v>768</v>
      </c>
      <c r="G262" s="22" t="s">
        <v>884</v>
      </c>
    </row>
    <row r="263" customFormat="false" ht="15" hidden="false" customHeight="false" outlineLevel="0" collapsed="false">
      <c r="A263" s="19" t="n">
        <v>2</v>
      </c>
      <c r="B263" s="20" t="s">
        <v>396</v>
      </c>
      <c r="C263" s="21" t="s">
        <v>885</v>
      </c>
      <c r="D263" s="21" t="s">
        <v>886</v>
      </c>
      <c r="E263" s="19" t="s">
        <v>406</v>
      </c>
      <c r="F263" s="21" t="s">
        <v>55</v>
      </c>
      <c r="G263" s="22" t="s">
        <v>887</v>
      </c>
    </row>
    <row r="264" customFormat="false" ht="15" hidden="false" customHeight="false" outlineLevel="0" collapsed="false">
      <c r="A264" s="19" t="n">
        <v>2</v>
      </c>
      <c r="B264" s="20" t="s">
        <v>396</v>
      </c>
      <c r="C264" s="21" t="s">
        <v>888</v>
      </c>
      <c r="D264" s="21" t="s">
        <v>857</v>
      </c>
      <c r="E264" s="19" t="s">
        <v>889</v>
      </c>
      <c r="F264" s="21" t="s">
        <v>125</v>
      </c>
      <c r="G264" s="22" t="s">
        <v>890</v>
      </c>
    </row>
    <row r="265" customFormat="false" ht="15" hidden="false" customHeight="false" outlineLevel="0" collapsed="false">
      <c r="A265" s="19" t="n">
        <v>2</v>
      </c>
      <c r="B265" s="20" t="s">
        <v>396</v>
      </c>
      <c r="C265" s="21" t="s">
        <v>891</v>
      </c>
      <c r="D265" s="21" t="s">
        <v>892</v>
      </c>
      <c r="E265" s="19" t="s">
        <v>399</v>
      </c>
      <c r="F265" s="21" t="s">
        <v>82</v>
      </c>
      <c r="G265" s="22" t="s">
        <v>893</v>
      </c>
    </row>
    <row r="266" customFormat="false" ht="15" hidden="false" customHeight="false" outlineLevel="0" collapsed="false">
      <c r="A266" s="19" t="n">
        <v>2</v>
      </c>
      <c r="B266" s="20" t="s">
        <v>396</v>
      </c>
      <c r="C266" s="21" t="s">
        <v>894</v>
      </c>
      <c r="D266" s="21" t="s">
        <v>365</v>
      </c>
      <c r="E266" s="19" t="s">
        <v>889</v>
      </c>
      <c r="F266" s="21" t="s">
        <v>125</v>
      </c>
      <c r="G266" s="22" t="s">
        <v>895</v>
      </c>
    </row>
    <row r="267" customFormat="false" ht="15" hidden="false" customHeight="false" outlineLevel="0" collapsed="false">
      <c r="A267" s="19" t="n">
        <v>2</v>
      </c>
      <c r="B267" s="20" t="s">
        <v>396</v>
      </c>
      <c r="C267" s="21" t="s">
        <v>896</v>
      </c>
      <c r="D267" s="21" t="s">
        <v>842</v>
      </c>
      <c r="E267" s="19" t="s">
        <v>399</v>
      </c>
      <c r="F267" s="21" t="s">
        <v>125</v>
      </c>
      <c r="G267" s="22" t="s">
        <v>897</v>
      </c>
    </row>
    <row r="268" customFormat="false" ht="15" hidden="false" customHeight="false" outlineLevel="0" collapsed="false">
      <c r="A268" s="19" t="n">
        <v>2</v>
      </c>
      <c r="B268" s="20" t="s">
        <v>396</v>
      </c>
      <c r="C268" s="21" t="s">
        <v>898</v>
      </c>
      <c r="D268" s="21" t="s">
        <v>899</v>
      </c>
      <c r="E268" s="19" t="s">
        <v>406</v>
      </c>
      <c r="F268" s="21" t="s">
        <v>55</v>
      </c>
      <c r="G268" s="22" t="s">
        <v>900</v>
      </c>
    </row>
    <row r="269" customFormat="false" ht="15" hidden="false" customHeight="false" outlineLevel="0" collapsed="false">
      <c r="A269" s="19" t="n">
        <v>2</v>
      </c>
      <c r="B269" s="20" t="s">
        <v>396</v>
      </c>
      <c r="C269" s="21" t="s">
        <v>901</v>
      </c>
      <c r="D269" s="21" t="s">
        <v>902</v>
      </c>
      <c r="E269" s="19" t="s">
        <v>430</v>
      </c>
      <c r="F269" s="21" t="s">
        <v>55</v>
      </c>
      <c r="G269" s="22" t="s">
        <v>903</v>
      </c>
    </row>
    <row r="270" customFormat="false" ht="15" hidden="false" customHeight="false" outlineLevel="0" collapsed="false">
      <c r="A270" s="19" t="n">
        <v>2</v>
      </c>
      <c r="B270" s="20" t="s">
        <v>396</v>
      </c>
      <c r="C270" s="21" t="s">
        <v>904</v>
      </c>
      <c r="D270" s="21" t="s">
        <v>905</v>
      </c>
      <c r="E270" s="19" t="s">
        <v>422</v>
      </c>
      <c r="F270" s="21" t="s">
        <v>69</v>
      </c>
      <c r="G270" s="22" t="s">
        <v>906</v>
      </c>
    </row>
    <row r="271" customFormat="false" ht="15" hidden="false" customHeight="false" outlineLevel="0" collapsed="false">
      <c r="A271" s="19" t="n">
        <v>2</v>
      </c>
      <c r="B271" s="20" t="s">
        <v>396</v>
      </c>
      <c r="C271" s="21" t="s">
        <v>907</v>
      </c>
      <c r="D271" s="21" t="s">
        <v>908</v>
      </c>
      <c r="E271" s="19" t="s">
        <v>306</v>
      </c>
      <c r="F271" s="21" t="s">
        <v>780</v>
      </c>
      <c r="G271" s="22" t="s">
        <v>909</v>
      </c>
    </row>
    <row r="272" customFormat="false" ht="15" hidden="false" customHeight="false" outlineLevel="0" collapsed="false">
      <c r="A272" s="19" t="n">
        <v>2</v>
      </c>
      <c r="B272" s="20" t="s">
        <v>396</v>
      </c>
      <c r="C272" s="21" t="s">
        <v>910</v>
      </c>
      <c r="D272" s="21" t="s">
        <v>911</v>
      </c>
      <c r="E272" s="19" t="s">
        <v>846</v>
      </c>
      <c r="F272" s="21" t="s">
        <v>55</v>
      </c>
      <c r="G272" s="22" t="s">
        <v>912</v>
      </c>
    </row>
    <row r="273" customFormat="false" ht="15" hidden="false" customHeight="false" outlineLevel="0" collapsed="false">
      <c r="A273" s="11" t="n">
        <v>3</v>
      </c>
      <c r="B273" s="12" t="s">
        <v>51</v>
      </c>
      <c r="C273" s="13" t="s">
        <v>913</v>
      </c>
      <c r="D273" s="13" t="s">
        <v>914</v>
      </c>
      <c r="E273" s="11" t="s">
        <v>468</v>
      </c>
      <c r="F273" s="13" t="s">
        <v>915</v>
      </c>
      <c r="G273" s="14" t="s">
        <v>916</v>
      </c>
    </row>
    <row r="274" customFormat="false" ht="15" hidden="false" customHeight="false" outlineLevel="0" collapsed="false">
      <c r="A274" s="11" t="n">
        <v>3</v>
      </c>
      <c r="B274" s="12" t="s">
        <v>51</v>
      </c>
      <c r="C274" s="13" t="s">
        <v>917</v>
      </c>
      <c r="D274" s="13" t="s">
        <v>918</v>
      </c>
      <c r="E274" s="11" t="s">
        <v>858</v>
      </c>
      <c r="F274" s="13" t="s">
        <v>919</v>
      </c>
      <c r="G274" s="14" t="s">
        <v>920</v>
      </c>
    </row>
    <row r="275" customFormat="false" ht="15" hidden="false" customHeight="false" outlineLevel="0" collapsed="false">
      <c r="A275" s="11" t="n">
        <v>3</v>
      </c>
      <c r="B275" s="12" t="s">
        <v>51</v>
      </c>
      <c r="C275" s="13" t="s">
        <v>921</v>
      </c>
      <c r="D275" s="13" t="s">
        <v>922</v>
      </c>
      <c r="E275" s="11" t="s">
        <v>593</v>
      </c>
      <c r="F275" s="13" t="s">
        <v>69</v>
      </c>
      <c r="G275" s="14" t="s">
        <v>923</v>
      </c>
    </row>
    <row r="276" customFormat="false" ht="15" hidden="false" customHeight="false" outlineLevel="0" collapsed="false">
      <c r="A276" s="11" t="n">
        <v>3</v>
      </c>
      <c r="B276" s="12" t="s">
        <v>51</v>
      </c>
      <c r="C276" s="13" t="s">
        <v>924</v>
      </c>
      <c r="D276" s="13" t="s">
        <v>232</v>
      </c>
      <c r="E276" s="11" t="s">
        <v>134</v>
      </c>
      <c r="F276" s="13" t="s">
        <v>125</v>
      </c>
      <c r="G276" s="14" t="s">
        <v>925</v>
      </c>
    </row>
    <row r="277" customFormat="false" ht="15" hidden="false" customHeight="false" outlineLevel="0" collapsed="false">
      <c r="A277" s="11" t="n">
        <v>3</v>
      </c>
      <c r="B277" s="12" t="s">
        <v>51</v>
      </c>
      <c r="C277" s="13" t="s">
        <v>926</v>
      </c>
      <c r="D277" s="13" t="s">
        <v>157</v>
      </c>
      <c r="E277" s="11" t="s">
        <v>220</v>
      </c>
      <c r="F277" s="13" t="s">
        <v>159</v>
      </c>
      <c r="G277" s="14" t="s">
        <v>927</v>
      </c>
    </row>
    <row r="278" customFormat="false" ht="15" hidden="false" customHeight="false" outlineLevel="0" collapsed="false">
      <c r="A278" s="11" t="n">
        <v>3</v>
      </c>
      <c r="B278" s="12" t="s">
        <v>51</v>
      </c>
      <c r="C278" s="13" t="s">
        <v>928</v>
      </c>
      <c r="D278" s="13" t="s">
        <v>929</v>
      </c>
      <c r="E278" s="11" t="s">
        <v>634</v>
      </c>
      <c r="F278" s="13" t="s">
        <v>82</v>
      </c>
      <c r="G278" s="14" t="s">
        <v>930</v>
      </c>
    </row>
    <row r="279" customFormat="false" ht="15" hidden="false" customHeight="false" outlineLevel="0" collapsed="false">
      <c r="A279" s="11" t="n">
        <v>3</v>
      </c>
      <c r="B279" s="12" t="s">
        <v>51</v>
      </c>
      <c r="C279" s="13" t="s">
        <v>931</v>
      </c>
      <c r="D279" s="13" t="s">
        <v>932</v>
      </c>
      <c r="E279" s="11" t="s">
        <v>73</v>
      </c>
      <c r="F279" s="13" t="s">
        <v>933</v>
      </c>
      <c r="G279" s="14" t="s">
        <v>934</v>
      </c>
    </row>
    <row r="280" customFormat="false" ht="15" hidden="false" customHeight="false" outlineLevel="0" collapsed="false">
      <c r="A280" s="11" t="n">
        <v>3</v>
      </c>
      <c r="B280" s="12" t="s">
        <v>51</v>
      </c>
      <c r="C280" s="13" t="s">
        <v>935</v>
      </c>
      <c r="D280" s="13" t="s">
        <v>936</v>
      </c>
      <c r="E280" s="11" t="s">
        <v>120</v>
      </c>
      <c r="F280" s="13" t="s">
        <v>302</v>
      </c>
      <c r="G280" s="14" t="s">
        <v>937</v>
      </c>
    </row>
    <row r="281" customFormat="false" ht="15" hidden="false" customHeight="false" outlineLevel="0" collapsed="false">
      <c r="A281" s="11" t="n">
        <v>3</v>
      </c>
      <c r="B281" s="12" t="s">
        <v>51</v>
      </c>
      <c r="C281" s="13" t="s">
        <v>938</v>
      </c>
      <c r="D281" s="13" t="s">
        <v>922</v>
      </c>
      <c r="E281" s="11" t="s">
        <v>939</v>
      </c>
      <c r="F281" s="13" t="s">
        <v>69</v>
      </c>
      <c r="G281" s="14" t="s">
        <v>940</v>
      </c>
    </row>
    <row r="282" customFormat="false" ht="15" hidden="false" customHeight="false" outlineLevel="0" collapsed="false">
      <c r="A282" s="11" t="n">
        <v>3</v>
      </c>
      <c r="B282" s="12" t="s">
        <v>51</v>
      </c>
      <c r="C282" s="13" t="s">
        <v>941</v>
      </c>
      <c r="D282" s="13" t="s">
        <v>162</v>
      </c>
      <c r="E282" s="11" t="s">
        <v>181</v>
      </c>
      <c r="F282" s="13" t="s">
        <v>163</v>
      </c>
      <c r="G282" s="14" t="s">
        <v>942</v>
      </c>
    </row>
    <row r="283" customFormat="false" ht="15" hidden="false" customHeight="false" outlineLevel="0" collapsed="false">
      <c r="A283" s="11" t="n">
        <v>3</v>
      </c>
      <c r="B283" s="12" t="s">
        <v>51</v>
      </c>
      <c r="C283" s="13" t="s">
        <v>943</v>
      </c>
      <c r="D283" s="13" t="s">
        <v>914</v>
      </c>
      <c r="E283" s="11" t="s">
        <v>944</v>
      </c>
      <c r="F283" s="13" t="s">
        <v>915</v>
      </c>
      <c r="G283" s="14" t="s">
        <v>945</v>
      </c>
    </row>
    <row r="284" customFormat="false" ht="15" hidden="false" customHeight="false" outlineLevel="0" collapsed="false">
      <c r="A284" s="11" t="n">
        <v>3</v>
      </c>
      <c r="B284" s="12" t="s">
        <v>51</v>
      </c>
      <c r="C284" s="13" t="s">
        <v>946</v>
      </c>
      <c r="D284" s="13" t="s">
        <v>914</v>
      </c>
      <c r="E284" s="11" t="s">
        <v>947</v>
      </c>
      <c r="F284" s="13" t="s">
        <v>915</v>
      </c>
      <c r="G284" s="14" t="s">
        <v>948</v>
      </c>
    </row>
    <row r="285" customFormat="false" ht="15" hidden="false" customHeight="false" outlineLevel="0" collapsed="false">
      <c r="A285" s="11" t="n">
        <v>3</v>
      </c>
      <c r="B285" s="12" t="s">
        <v>51</v>
      </c>
      <c r="C285" s="13" t="s">
        <v>949</v>
      </c>
      <c r="D285" s="13" t="s">
        <v>162</v>
      </c>
      <c r="E285" s="11" t="s">
        <v>577</v>
      </c>
      <c r="F285" s="13" t="s">
        <v>163</v>
      </c>
      <c r="G285" s="14" t="s">
        <v>950</v>
      </c>
    </row>
    <row r="286" customFormat="false" ht="15" hidden="false" customHeight="false" outlineLevel="0" collapsed="false">
      <c r="A286" s="11" t="n">
        <v>3</v>
      </c>
      <c r="B286" s="12" t="s">
        <v>51</v>
      </c>
      <c r="C286" s="13" t="s">
        <v>951</v>
      </c>
      <c r="D286" s="13" t="s">
        <v>232</v>
      </c>
      <c r="E286" s="11" t="s">
        <v>150</v>
      </c>
      <c r="F286" s="13" t="s">
        <v>125</v>
      </c>
      <c r="G286" s="14" t="s">
        <v>952</v>
      </c>
    </row>
    <row r="287" customFormat="false" ht="15" hidden="false" customHeight="false" outlineLevel="0" collapsed="false">
      <c r="A287" s="11" t="n">
        <v>3</v>
      </c>
      <c r="B287" s="12" t="s">
        <v>51</v>
      </c>
      <c r="C287" s="13" t="s">
        <v>953</v>
      </c>
      <c r="D287" s="13" t="s">
        <v>954</v>
      </c>
      <c r="E287" s="11" t="s">
        <v>459</v>
      </c>
      <c r="F287" s="13" t="s">
        <v>919</v>
      </c>
      <c r="G287" s="14" t="s">
        <v>955</v>
      </c>
    </row>
    <row r="288" customFormat="false" ht="15" hidden="false" customHeight="false" outlineLevel="0" collapsed="false">
      <c r="A288" s="11" t="n">
        <v>3</v>
      </c>
      <c r="B288" s="12" t="s">
        <v>51</v>
      </c>
      <c r="C288" s="13" t="s">
        <v>956</v>
      </c>
      <c r="D288" s="13" t="s">
        <v>914</v>
      </c>
      <c r="E288" s="11" t="s">
        <v>418</v>
      </c>
      <c r="F288" s="13" t="s">
        <v>915</v>
      </c>
      <c r="G288" s="14" t="s">
        <v>957</v>
      </c>
    </row>
    <row r="289" customFormat="false" ht="15" hidden="false" customHeight="false" outlineLevel="0" collapsed="false">
      <c r="A289" s="11" t="n">
        <v>3</v>
      </c>
      <c r="B289" s="12" t="s">
        <v>51</v>
      </c>
      <c r="C289" s="13" t="s">
        <v>958</v>
      </c>
      <c r="D289" s="13" t="s">
        <v>123</v>
      </c>
      <c r="E289" s="11" t="s">
        <v>64</v>
      </c>
      <c r="F289" s="13" t="s">
        <v>125</v>
      </c>
      <c r="G289" s="14" t="s">
        <v>959</v>
      </c>
    </row>
    <row r="290" customFormat="false" ht="15" hidden="false" customHeight="false" outlineLevel="0" collapsed="false">
      <c r="A290" s="11" t="n">
        <v>3</v>
      </c>
      <c r="B290" s="12" t="s">
        <v>51</v>
      </c>
      <c r="C290" s="13" t="s">
        <v>960</v>
      </c>
      <c r="D290" s="13" t="s">
        <v>961</v>
      </c>
      <c r="E290" s="11" t="s">
        <v>944</v>
      </c>
      <c r="F290" s="13" t="s">
        <v>962</v>
      </c>
      <c r="G290" s="14" t="s">
        <v>963</v>
      </c>
    </row>
    <row r="291" customFormat="false" ht="15" hidden="false" customHeight="false" outlineLevel="0" collapsed="false">
      <c r="A291" s="11" t="n">
        <v>3</v>
      </c>
      <c r="B291" s="12" t="s">
        <v>51</v>
      </c>
      <c r="C291" s="13" t="s">
        <v>964</v>
      </c>
      <c r="D291" s="13" t="s">
        <v>583</v>
      </c>
      <c r="E291" s="11" t="s">
        <v>120</v>
      </c>
      <c r="F291" s="13" t="s">
        <v>125</v>
      </c>
      <c r="G291" s="14" t="s">
        <v>965</v>
      </c>
    </row>
    <row r="292" customFormat="false" ht="15" hidden="false" customHeight="false" outlineLevel="0" collapsed="false">
      <c r="A292" s="11" t="n">
        <v>3</v>
      </c>
      <c r="B292" s="12" t="s">
        <v>51</v>
      </c>
      <c r="C292" s="13" t="s">
        <v>966</v>
      </c>
      <c r="D292" s="13" t="s">
        <v>967</v>
      </c>
      <c r="E292" s="11" t="s">
        <v>968</v>
      </c>
      <c r="F292" s="13" t="s">
        <v>82</v>
      </c>
      <c r="G292" s="14" t="s">
        <v>969</v>
      </c>
    </row>
    <row r="293" customFormat="false" ht="15" hidden="false" customHeight="false" outlineLevel="0" collapsed="false">
      <c r="A293" s="11" t="n">
        <v>3</v>
      </c>
      <c r="B293" s="12" t="s">
        <v>51</v>
      </c>
      <c r="C293" s="13" t="s">
        <v>970</v>
      </c>
      <c r="D293" s="13" t="s">
        <v>929</v>
      </c>
      <c r="E293" s="11" t="s">
        <v>208</v>
      </c>
      <c r="F293" s="13" t="s">
        <v>82</v>
      </c>
      <c r="G293" s="14" t="s">
        <v>971</v>
      </c>
    </row>
    <row r="294" customFormat="false" ht="15" hidden="false" customHeight="false" outlineLevel="0" collapsed="false">
      <c r="A294" s="11" t="n">
        <v>3</v>
      </c>
      <c r="B294" s="12" t="s">
        <v>51</v>
      </c>
      <c r="C294" s="13" t="s">
        <v>972</v>
      </c>
      <c r="D294" s="13" t="s">
        <v>929</v>
      </c>
      <c r="E294" s="11" t="s">
        <v>542</v>
      </c>
      <c r="F294" s="13" t="s">
        <v>82</v>
      </c>
      <c r="G294" s="14" t="s">
        <v>973</v>
      </c>
    </row>
    <row r="295" customFormat="false" ht="15" hidden="false" customHeight="false" outlineLevel="0" collapsed="false">
      <c r="A295" s="11" t="n">
        <v>3</v>
      </c>
      <c r="B295" s="12" t="s">
        <v>51</v>
      </c>
      <c r="C295" s="13" t="s">
        <v>974</v>
      </c>
      <c r="D295" s="13" t="s">
        <v>58</v>
      </c>
      <c r="E295" s="11" t="s">
        <v>134</v>
      </c>
      <c r="F295" s="13" t="s">
        <v>60</v>
      </c>
      <c r="G295" s="14" t="s">
        <v>975</v>
      </c>
    </row>
    <row r="296" customFormat="false" ht="15" hidden="false" customHeight="false" outlineLevel="0" collapsed="false">
      <c r="A296" s="11" t="n">
        <v>3</v>
      </c>
      <c r="B296" s="12" t="s">
        <v>51</v>
      </c>
      <c r="C296" s="13" t="s">
        <v>976</v>
      </c>
      <c r="D296" s="13" t="s">
        <v>977</v>
      </c>
      <c r="E296" s="11" t="s">
        <v>59</v>
      </c>
      <c r="F296" s="13" t="s">
        <v>978</v>
      </c>
      <c r="G296" s="14" t="s">
        <v>979</v>
      </c>
    </row>
    <row r="297" customFormat="false" ht="15" hidden="false" customHeight="false" outlineLevel="0" collapsed="false">
      <c r="A297" s="11" t="n">
        <v>3</v>
      </c>
      <c r="B297" s="12" t="s">
        <v>51</v>
      </c>
      <c r="C297" s="13" t="s">
        <v>980</v>
      </c>
      <c r="D297" s="13" t="s">
        <v>981</v>
      </c>
      <c r="E297" s="11" t="s">
        <v>236</v>
      </c>
      <c r="F297" s="13" t="s">
        <v>82</v>
      </c>
      <c r="G297" s="14" t="s">
        <v>982</v>
      </c>
    </row>
    <row r="298" customFormat="false" ht="15" hidden="false" customHeight="false" outlineLevel="0" collapsed="false">
      <c r="A298" s="11" t="n">
        <v>3</v>
      </c>
      <c r="B298" s="12" t="s">
        <v>51</v>
      </c>
      <c r="C298" s="13" t="s">
        <v>983</v>
      </c>
      <c r="D298" s="13" t="s">
        <v>984</v>
      </c>
      <c r="E298" s="11" t="s">
        <v>59</v>
      </c>
      <c r="F298" s="13" t="s">
        <v>65</v>
      </c>
      <c r="G298" s="14" t="s">
        <v>985</v>
      </c>
    </row>
    <row r="299" customFormat="false" ht="15" hidden="false" customHeight="false" outlineLevel="0" collapsed="false">
      <c r="A299" s="11" t="n">
        <v>3</v>
      </c>
      <c r="B299" s="12" t="s">
        <v>51</v>
      </c>
      <c r="C299" s="13" t="s">
        <v>986</v>
      </c>
      <c r="D299" s="13" t="s">
        <v>987</v>
      </c>
      <c r="E299" s="11" t="s">
        <v>120</v>
      </c>
      <c r="F299" s="13" t="s">
        <v>125</v>
      </c>
      <c r="G299" s="14" t="s">
        <v>988</v>
      </c>
    </row>
    <row r="300" customFormat="false" ht="15" hidden="false" customHeight="false" outlineLevel="0" collapsed="false">
      <c r="A300" s="11" t="n">
        <v>3</v>
      </c>
      <c r="B300" s="12" t="s">
        <v>51</v>
      </c>
      <c r="C300" s="13" t="s">
        <v>989</v>
      </c>
      <c r="D300" s="13" t="s">
        <v>211</v>
      </c>
      <c r="E300" s="11" t="s">
        <v>158</v>
      </c>
      <c r="F300" s="13" t="s">
        <v>768</v>
      </c>
      <c r="G300" s="14" t="s">
        <v>990</v>
      </c>
    </row>
    <row r="301" customFormat="false" ht="15" hidden="false" customHeight="false" outlineLevel="0" collapsed="false">
      <c r="A301" s="11" t="n">
        <v>3</v>
      </c>
      <c r="B301" s="12" t="s">
        <v>51</v>
      </c>
      <c r="C301" s="13" t="s">
        <v>991</v>
      </c>
      <c r="D301" s="13" t="s">
        <v>992</v>
      </c>
      <c r="E301" s="11" t="s">
        <v>939</v>
      </c>
      <c r="F301" s="13" t="s">
        <v>55</v>
      </c>
      <c r="G301" s="14" t="s">
        <v>993</v>
      </c>
    </row>
    <row r="302" customFormat="false" ht="15" hidden="false" customHeight="false" outlineLevel="0" collapsed="false">
      <c r="A302" s="11" t="n">
        <v>3</v>
      </c>
      <c r="B302" s="12" t="s">
        <v>51</v>
      </c>
      <c r="C302" s="13" t="s">
        <v>994</v>
      </c>
      <c r="D302" s="13" t="s">
        <v>58</v>
      </c>
      <c r="E302" s="11" t="s">
        <v>54</v>
      </c>
      <c r="F302" s="13" t="s">
        <v>55</v>
      </c>
      <c r="G302" s="14" t="s">
        <v>995</v>
      </c>
    </row>
    <row r="303" customFormat="false" ht="15" hidden="false" customHeight="false" outlineLevel="0" collapsed="false">
      <c r="A303" s="11" t="n">
        <v>3</v>
      </c>
      <c r="B303" s="12" t="s">
        <v>51</v>
      </c>
      <c r="C303" s="13" t="s">
        <v>996</v>
      </c>
      <c r="D303" s="13" t="s">
        <v>997</v>
      </c>
      <c r="E303" s="11" t="s">
        <v>442</v>
      </c>
      <c r="F303" s="13" t="s">
        <v>302</v>
      </c>
      <c r="G303" s="14" t="s">
        <v>998</v>
      </c>
    </row>
    <row r="304" customFormat="false" ht="15" hidden="false" customHeight="false" outlineLevel="0" collapsed="false">
      <c r="A304" s="11" t="n">
        <v>3</v>
      </c>
      <c r="B304" s="12" t="s">
        <v>51</v>
      </c>
      <c r="C304" s="13" t="s">
        <v>999</v>
      </c>
      <c r="D304" s="13" t="s">
        <v>1000</v>
      </c>
      <c r="E304" s="11" t="s">
        <v>1001</v>
      </c>
      <c r="F304" s="13" t="s">
        <v>962</v>
      </c>
      <c r="G304" s="14" t="s">
        <v>1002</v>
      </c>
    </row>
    <row r="305" customFormat="false" ht="15" hidden="false" customHeight="false" outlineLevel="0" collapsed="false">
      <c r="A305" s="11" t="n">
        <v>3</v>
      </c>
      <c r="B305" s="12" t="s">
        <v>51</v>
      </c>
      <c r="C305" s="13" t="s">
        <v>1003</v>
      </c>
      <c r="D305" s="13" t="s">
        <v>981</v>
      </c>
      <c r="E305" s="11" t="s">
        <v>542</v>
      </c>
      <c r="F305" s="13" t="s">
        <v>82</v>
      </c>
      <c r="G305" s="14" t="s">
        <v>1004</v>
      </c>
    </row>
    <row r="306" customFormat="false" ht="15" hidden="false" customHeight="false" outlineLevel="0" collapsed="false">
      <c r="A306" s="11" t="n">
        <v>3</v>
      </c>
      <c r="B306" s="12" t="s">
        <v>51</v>
      </c>
      <c r="C306" s="13" t="s">
        <v>1005</v>
      </c>
      <c r="D306" s="13" t="s">
        <v>123</v>
      </c>
      <c r="E306" s="11" t="s">
        <v>875</v>
      </c>
      <c r="F306" s="13" t="s">
        <v>125</v>
      </c>
      <c r="G306" s="14" t="s">
        <v>1006</v>
      </c>
    </row>
    <row r="307" customFormat="false" ht="15" hidden="false" customHeight="false" outlineLevel="0" collapsed="false">
      <c r="A307" s="11" t="n">
        <v>3</v>
      </c>
      <c r="B307" s="12" t="s">
        <v>51</v>
      </c>
      <c r="C307" s="13" t="s">
        <v>1007</v>
      </c>
      <c r="D307" s="13" t="s">
        <v>162</v>
      </c>
      <c r="E307" s="11" t="s">
        <v>492</v>
      </c>
      <c r="F307" s="13" t="s">
        <v>163</v>
      </c>
      <c r="G307" s="14" t="s">
        <v>1008</v>
      </c>
    </row>
    <row r="308" customFormat="false" ht="15" hidden="false" customHeight="false" outlineLevel="0" collapsed="false">
      <c r="A308" s="11" t="n">
        <v>3</v>
      </c>
      <c r="B308" s="12" t="s">
        <v>51</v>
      </c>
      <c r="C308" s="13" t="s">
        <v>1009</v>
      </c>
      <c r="D308" s="13" t="s">
        <v>1010</v>
      </c>
      <c r="E308" s="11" t="s">
        <v>54</v>
      </c>
      <c r="F308" s="13" t="s">
        <v>55</v>
      </c>
      <c r="G308" s="14" t="s">
        <v>1011</v>
      </c>
    </row>
    <row r="309" customFormat="false" ht="15" hidden="false" customHeight="false" outlineLevel="0" collapsed="false">
      <c r="A309" s="11" t="n">
        <v>3</v>
      </c>
      <c r="B309" s="12" t="s">
        <v>51</v>
      </c>
      <c r="C309" s="13" t="s">
        <v>1012</v>
      </c>
      <c r="D309" s="13" t="s">
        <v>954</v>
      </c>
      <c r="E309" s="11" t="s">
        <v>1013</v>
      </c>
      <c r="F309" s="13" t="s">
        <v>919</v>
      </c>
      <c r="G309" s="14" t="s">
        <v>1014</v>
      </c>
    </row>
    <row r="310" customFormat="false" ht="15" hidden="false" customHeight="false" outlineLevel="0" collapsed="false">
      <c r="A310" s="11" t="n">
        <v>3</v>
      </c>
      <c r="B310" s="12" t="s">
        <v>51</v>
      </c>
      <c r="C310" s="13" t="s">
        <v>1015</v>
      </c>
      <c r="D310" s="13" t="s">
        <v>1016</v>
      </c>
      <c r="E310" s="11" t="s">
        <v>233</v>
      </c>
      <c r="F310" s="13" t="s">
        <v>82</v>
      </c>
      <c r="G310" s="14" t="s">
        <v>1017</v>
      </c>
    </row>
    <row r="311" customFormat="false" ht="15" hidden="false" customHeight="false" outlineLevel="0" collapsed="false">
      <c r="A311" s="11" t="n">
        <v>3</v>
      </c>
      <c r="B311" s="12" t="s">
        <v>51</v>
      </c>
      <c r="C311" s="13" t="s">
        <v>1018</v>
      </c>
      <c r="D311" s="13" t="s">
        <v>984</v>
      </c>
      <c r="E311" s="11" t="s">
        <v>73</v>
      </c>
      <c r="F311" s="13" t="s">
        <v>65</v>
      </c>
      <c r="G311" s="14" t="s">
        <v>1019</v>
      </c>
    </row>
    <row r="312" customFormat="false" ht="15" hidden="false" customHeight="false" outlineLevel="0" collapsed="false">
      <c r="A312" s="11" t="n">
        <v>3</v>
      </c>
      <c r="B312" s="12" t="s">
        <v>51</v>
      </c>
      <c r="C312" s="13" t="s">
        <v>1020</v>
      </c>
      <c r="D312" s="13" t="s">
        <v>123</v>
      </c>
      <c r="E312" s="11" t="s">
        <v>236</v>
      </c>
      <c r="F312" s="13" t="s">
        <v>125</v>
      </c>
      <c r="G312" s="14" t="s">
        <v>1021</v>
      </c>
    </row>
    <row r="313" customFormat="false" ht="15" hidden="false" customHeight="false" outlineLevel="0" collapsed="false">
      <c r="A313" s="11" t="n">
        <v>3</v>
      </c>
      <c r="B313" s="12" t="s">
        <v>51</v>
      </c>
      <c r="C313" s="13" t="s">
        <v>1022</v>
      </c>
      <c r="D313" s="13" t="s">
        <v>108</v>
      </c>
      <c r="E313" s="11" t="s">
        <v>939</v>
      </c>
      <c r="F313" s="13" t="s">
        <v>55</v>
      </c>
      <c r="G313" s="14" t="s">
        <v>1023</v>
      </c>
    </row>
    <row r="314" customFormat="false" ht="15" hidden="false" customHeight="false" outlineLevel="0" collapsed="false">
      <c r="A314" s="11" t="n">
        <v>3</v>
      </c>
      <c r="B314" s="12" t="s">
        <v>51</v>
      </c>
      <c r="C314" s="13" t="s">
        <v>1024</v>
      </c>
      <c r="D314" s="13" t="s">
        <v>628</v>
      </c>
      <c r="E314" s="11" t="s">
        <v>124</v>
      </c>
      <c r="F314" s="13" t="s">
        <v>125</v>
      </c>
      <c r="G314" s="14" t="s">
        <v>1025</v>
      </c>
    </row>
    <row r="315" customFormat="false" ht="15" hidden="false" customHeight="false" outlineLevel="0" collapsed="false">
      <c r="A315" s="11" t="n">
        <v>3</v>
      </c>
      <c r="B315" s="12" t="s">
        <v>51</v>
      </c>
      <c r="C315" s="13" t="s">
        <v>1026</v>
      </c>
      <c r="D315" s="13" t="s">
        <v>157</v>
      </c>
      <c r="E315" s="11" t="s">
        <v>236</v>
      </c>
      <c r="F315" s="13" t="s">
        <v>159</v>
      </c>
      <c r="G315" s="14" t="s">
        <v>1027</v>
      </c>
    </row>
    <row r="316" customFormat="false" ht="15" hidden="false" customHeight="false" outlineLevel="0" collapsed="false">
      <c r="A316" s="11" t="n">
        <v>3</v>
      </c>
      <c r="B316" s="12" t="s">
        <v>51</v>
      </c>
      <c r="C316" s="13" t="s">
        <v>1028</v>
      </c>
      <c r="D316" s="13" t="s">
        <v>1029</v>
      </c>
      <c r="E316" s="11" t="s">
        <v>875</v>
      </c>
      <c r="F316" s="13" t="s">
        <v>1030</v>
      </c>
      <c r="G316" s="14" t="s">
        <v>1031</v>
      </c>
    </row>
    <row r="317" customFormat="false" ht="15" hidden="false" customHeight="false" outlineLevel="0" collapsed="false">
      <c r="A317" s="11" t="n">
        <v>3</v>
      </c>
      <c r="B317" s="12" t="s">
        <v>51</v>
      </c>
      <c r="C317" s="13" t="s">
        <v>1032</v>
      </c>
      <c r="D317" s="13" t="s">
        <v>922</v>
      </c>
      <c r="E317" s="11" t="s">
        <v>93</v>
      </c>
      <c r="F317" s="13" t="s">
        <v>69</v>
      </c>
      <c r="G317" s="14" t="s">
        <v>1033</v>
      </c>
    </row>
    <row r="318" customFormat="false" ht="15" hidden="false" customHeight="false" outlineLevel="0" collapsed="false">
      <c r="A318" s="11" t="n">
        <v>3</v>
      </c>
      <c r="B318" s="12" t="s">
        <v>51</v>
      </c>
      <c r="C318" s="13" t="s">
        <v>1034</v>
      </c>
      <c r="D318" s="13" t="s">
        <v>157</v>
      </c>
      <c r="E318" s="11" t="s">
        <v>150</v>
      </c>
      <c r="F318" s="13" t="s">
        <v>159</v>
      </c>
      <c r="G318" s="14" t="s">
        <v>927</v>
      </c>
    </row>
    <row r="319" customFormat="false" ht="15" hidden="false" customHeight="false" outlineLevel="0" collapsed="false">
      <c r="A319" s="11" t="n">
        <v>3</v>
      </c>
      <c r="B319" s="12" t="s">
        <v>51</v>
      </c>
      <c r="C319" s="13" t="s">
        <v>1035</v>
      </c>
      <c r="D319" s="13" t="s">
        <v>123</v>
      </c>
      <c r="E319" s="11" t="s">
        <v>54</v>
      </c>
      <c r="F319" s="13" t="s">
        <v>125</v>
      </c>
      <c r="G319" s="14" t="s">
        <v>1036</v>
      </c>
    </row>
    <row r="320" customFormat="false" ht="15" hidden="false" customHeight="false" outlineLevel="0" collapsed="false">
      <c r="A320" s="11" t="n">
        <v>3</v>
      </c>
      <c r="B320" s="12" t="s">
        <v>51</v>
      </c>
      <c r="C320" s="13" t="s">
        <v>1037</v>
      </c>
      <c r="D320" s="13" t="s">
        <v>961</v>
      </c>
      <c r="E320" s="11" t="s">
        <v>831</v>
      </c>
      <c r="F320" s="13" t="s">
        <v>962</v>
      </c>
      <c r="G320" s="14" t="s">
        <v>1038</v>
      </c>
    </row>
    <row r="321" customFormat="false" ht="15" hidden="false" customHeight="false" outlineLevel="0" collapsed="false">
      <c r="A321" s="11" t="n">
        <v>3</v>
      </c>
      <c r="B321" s="12" t="s">
        <v>51</v>
      </c>
      <c r="C321" s="13" t="s">
        <v>1039</v>
      </c>
      <c r="D321" s="13" t="s">
        <v>1040</v>
      </c>
      <c r="E321" s="11" t="s">
        <v>492</v>
      </c>
      <c r="F321" s="13" t="s">
        <v>933</v>
      </c>
      <c r="G321" s="14" t="s">
        <v>1041</v>
      </c>
    </row>
    <row r="322" customFormat="false" ht="15" hidden="false" customHeight="false" outlineLevel="0" collapsed="false">
      <c r="A322" s="11" t="n">
        <v>3</v>
      </c>
      <c r="B322" s="12" t="s">
        <v>51</v>
      </c>
      <c r="C322" s="13" t="s">
        <v>1042</v>
      </c>
      <c r="D322" s="13" t="s">
        <v>162</v>
      </c>
      <c r="E322" s="11" t="s">
        <v>54</v>
      </c>
      <c r="F322" s="13" t="s">
        <v>163</v>
      </c>
      <c r="G322" s="14" t="s">
        <v>1043</v>
      </c>
    </row>
    <row r="323" customFormat="false" ht="15" hidden="false" customHeight="false" outlineLevel="0" collapsed="false">
      <c r="A323" s="11" t="n">
        <v>3</v>
      </c>
      <c r="B323" s="12" t="s">
        <v>51</v>
      </c>
      <c r="C323" s="13" t="s">
        <v>1044</v>
      </c>
      <c r="D323" s="13" t="s">
        <v>932</v>
      </c>
      <c r="E323" s="11" t="s">
        <v>85</v>
      </c>
      <c r="F323" s="13" t="s">
        <v>933</v>
      </c>
      <c r="G323" s="14" t="s">
        <v>1045</v>
      </c>
    </row>
    <row r="324" customFormat="false" ht="15" hidden="false" customHeight="false" outlineLevel="0" collapsed="false">
      <c r="A324" s="11" t="n">
        <v>3</v>
      </c>
      <c r="B324" s="12" t="s">
        <v>51</v>
      </c>
      <c r="C324" s="13" t="s">
        <v>1046</v>
      </c>
      <c r="D324" s="13" t="s">
        <v>1047</v>
      </c>
      <c r="E324" s="11" t="s">
        <v>1048</v>
      </c>
      <c r="F324" s="13" t="s">
        <v>1049</v>
      </c>
      <c r="G324" s="14" t="s">
        <v>1050</v>
      </c>
    </row>
    <row r="325" customFormat="false" ht="15" hidden="false" customHeight="false" outlineLevel="0" collapsed="false">
      <c r="A325" s="11" t="n">
        <v>3</v>
      </c>
      <c r="B325" s="12" t="s">
        <v>51</v>
      </c>
      <c r="C325" s="13" t="s">
        <v>1051</v>
      </c>
      <c r="D325" s="13" t="s">
        <v>918</v>
      </c>
      <c r="E325" s="11" t="s">
        <v>1001</v>
      </c>
      <c r="F325" s="13" t="s">
        <v>919</v>
      </c>
      <c r="G325" s="14" t="s">
        <v>1052</v>
      </c>
    </row>
    <row r="326" customFormat="false" ht="15" hidden="false" customHeight="false" outlineLevel="0" collapsed="false">
      <c r="A326" s="11" t="n">
        <v>3</v>
      </c>
      <c r="B326" s="12" t="s">
        <v>51</v>
      </c>
      <c r="C326" s="13" t="s">
        <v>1053</v>
      </c>
      <c r="D326" s="13" t="s">
        <v>123</v>
      </c>
      <c r="E326" s="11" t="s">
        <v>598</v>
      </c>
      <c r="F326" s="13" t="s">
        <v>125</v>
      </c>
      <c r="G326" s="14" t="s">
        <v>1054</v>
      </c>
    </row>
    <row r="327" customFormat="false" ht="15" hidden="false" customHeight="false" outlineLevel="0" collapsed="false">
      <c r="A327" s="15" t="n">
        <v>3</v>
      </c>
      <c r="B327" s="16" t="s">
        <v>26</v>
      </c>
      <c r="C327" s="17" t="s">
        <v>1055</v>
      </c>
      <c r="D327" s="17" t="s">
        <v>1056</v>
      </c>
      <c r="E327" s="15" t="s">
        <v>846</v>
      </c>
      <c r="F327" s="17" t="s">
        <v>55</v>
      </c>
      <c r="G327" s="18" t="s">
        <v>1057</v>
      </c>
    </row>
    <row r="328" customFormat="false" ht="15" hidden="false" customHeight="false" outlineLevel="0" collapsed="false">
      <c r="A328" s="15" t="n">
        <v>3</v>
      </c>
      <c r="B328" s="16" t="s">
        <v>26</v>
      </c>
      <c r="C328" s="17" t="s">
        <v>1058</v>
      </c>
      <c r="D328" s="17" t="s">
        <v>1059</v>
      </c>
      <c r="E328" s="15" t="s">
        <v>245</v>
      </c>
      <c r="F328" s="17" t="s">
        <v>55</v>
      </c>
      <c r="G328" s="18" t="s">
        <v>1060</v>
      </c>
    </row>
    <row r="329" customFormat="false" ht="15" hidden="false" customHeight="false" outlineLevel="0" collapsed="false">
      <c r="A329" s="15" t="n">
        <v>3</v>
      </c>
      <c r="B329" s="16" t="s">
        <v>26</v>
      </c>
      <c r="C329" s="17" t="s">
        <v>1061</v>
      </c>
      <c r="D329" s="17" t="s">
        <v>538</v>
      </c>
      <c r="E329" s="15" t="s">
        <v>294</v>
      </c>
      <c r="F329" s="17" t="s">
        <v>55</v>
      </c>
      <c r="G329" s="18" t="s">
        <v>1062</v>
      </c>
    </row>
    <row r="330" customFormat="false" ht="15" hidden="false" customHeight="false" outlineLevel="0" collapsed="false">
      <c r="A330" s="15" t="n">
        <v>3</v>
      </c>
      <c r="B330" s="16" t="s">
        <v>26</v>
      </c>
      <c r="C330" s="17" t="s">
        <v>1063</v>
      </c>
      <c r="D330" s="17" t="s">
        <v>1064</v>
      </c>
      <c r="E330" s="15" t="s">
        <v>294</v>
      </c>
      <c r="F330" s="17" t="s">
        <v>919</v>
      </c>
      <c r="G330" s="18" t="s">
        <v>1065</v>
      </c>
    </row>
    <row r="331" customFormat="false" ht="15" hidden="false" customHeight="false" outlineLevel="0" collapsed="false">
      <c r="A331" s="15" t="n">
        <v>3</v>
      </c>
      <c r="B331" s="16" t="s">
        <v>26</v>
      </c>
      <c r="C331" s="17" t="s">
        <v>1066</v>
      </c>
      <c r="D331" s="17" t="s">
        <v>1067</v>
      </c>
      <c r="E331" s="15" t="s">
        <v>324</v>
      </c>
      <c r="F331" s="17" t="s">
        <v>55</v>
      </c>
      <c r="G331" s="18" t="s">
        <v>1068</v>
      </c>
    </row>
    <row r="332" customFormat="false" ht="15" hidden="false" customHeight="false" outlineLevel="0" collapsed="false">
      <c r="A332" s="15" t="n">
        <v>3</v>
      </c>
      <c r="B332" s="16" t="s">
        <v>26</v>
      </c>
      <c r="C332" s="17" t="s">
        <v>1069</v>
      </c>
      <c r="D332" s="17" t="s">
        <v>1070</v>
      </c>
      <c r="E332" s="15" t="s">
        <v>249</v>
      </c>
      <c r="F332" s="17" t="s">
        <v>55</v>
      </c>
      <c r="G332" s="18" t="s">
        <v>1071</v>
      </c>
    </row>
    <row r="333" customFormat="false" ht="15" hidden="false" customHeight="false" outlineLevel="0" collapsed="false">
      <c r="A333" s="15" t="n">
        <v>3</v>
      </c>
      <c r="B333" s="16" t="s">
        <v>26</v>
      </c>
      <c r="C333" s="17" t="s">
        <v>1072</v>
      </c>
      <c r="D333" s="17" t="s">
        <v>1073</v>
      </c>
      <c r="E333" s="15" t="s">
        <v>410</v>
      </c>
      <c r="F333" s="17" t="s">
        <v>962</v>
      </c>
      <c r="G333" s="18" t="s">
        <v>1074</v>
      </c>
    </row>
    <row r="334" customFormat="false" ht="15" hidden="false" customHeight="false" outlineLevel="0" collapsed="false">
      <c r="A334" s="15" t="n">
        <v>3</v>
      </c>
      <c r="B334" s="16" t="s">
        <v>26</v>
      </c>
      <c r="C334" s="17" t="s">
        <v>1075</v>
      </c>
      <c r="D334" s="17" t="s">
        <v>1076</v>
      </c>
      <c r="E334" s="15" t="s">
        <v>256</v>
      </c>
      <c r="F334" s="17" t="s">
        <v>82</v>
      </c>
      <c r="G334" s="18" t="s">
        <v>1077</v>
      </c>
    </row>
    <row r="335" customFormat="false" ht="15" hidden="false" customHeight="false" outlineLevel="0" collapsed="false">
      <c r="A335" s="15" t="n">
        <v>3</v>
      </c>
      <c r="B335" s="16" t="s">
        <v>26</v>
      </c>
      <c r="C335" s="17" t="s">
        <v>1078</v>
      </c>
      <c r="D335" s="17" t="s">
        <v>1056</v>
      </c>
      <c r="E335" s="15" t="s">
        <v>324</v>
      </c>
      <c r="F335" s="17" t="s">
        <v>55</v>
      </c>
      <c r="G335" s="18" t="s">
        <v>1079</v>
      </c>
    </row>
    <row r="336" customFormat="false" ht="15" hidden="false" customHeight="false" outlineLevel="0" collapsed="false">
      <c r="A336" s="15" t="n">
        <v>3</v>
      </c>
      <c r="B336" s="16" t="s">
        <v>26</v>
      </c>
      <c r="C336" s="17" t="s">
        <v>1080</v>
      </c>
      <c r="D336" s="17" t="s">
        <v>1081</v>
      </c>
      <c r="E336" s="15" t="s">
        <v>256</v>
      </c>
      <c r="F336" s="17" t="s">
        <v>1082</v>
      </c>
      <c r="G336" s="18" t="s">
        <v>1083</v>
      </c>
    </row>
    <row r="337" customFormat="false" ht="15" hidden="false" customHeight="false" outlineLevel="0" collapsed="false">
      <c r="A337" s="15" t="n">
        <v>3</v>
      </c>
      <c r="B337" s="16" t="s">
        <v>26</v>
      </c>
      <c r="C337" s="17" t="s">
        <v>1084</v>
      </c>
      <c r="D337" s="17" t="s">
        <v>1085</v>
      </c>
      <c r="E337" s="15" t="s">
        <v>410</v>
      </c>
      <c r="F337" s="17" t="s">
        <v>82</v>
      </c>
      <c r="G337" s="18" t="s">
        <v>1086</v>
      </c>
    </row>
    <row r="338" customFormat="false" ht="15" hidden="false" customHeight="false" outlineLevel="0" collapsed="false">
      <c r="A338" s="15" t="n">
        <v>3</v>
      </c>
      <c r="B338" s="16" t="s">
        <v>26</v>
      </c>
      <c r="C338" s="17" t="s">
        <v>1087</v>
      </c>
      <c r="D338" s="17" t="s">
        <v>1067</v>
      </c>
      <c r="E338" s="15" t="s">
        <v>340</v>
      </c>
      <c r="F338" s="17" t="s">
        <v>55</v>
      </c>
      <c r="G338" s="18" t="s">
        <v>1088</v>
      </c>
    </row>
    <row r="339" customFormat="false" ht="15" hidden="false" customHeight="false" outlineLevel="0" collapsed="false">
      <c r="A339" s="15" t="n">
        <v>3</v>
      </c>
      <c r="B339" s="16" t="s">
        <v>26</v>
      </c>
      <c r="C339" s="17" t="s">
        <v>1089</v>
      </c>
      <c r="D339" s="17" t="s">
        <v>1090</v>
      </c>
      <c r="E339" s="15" t="s">
        <v>245</v>
      </c>
      <c r="F339" s="17" t="s">
        <v>1091</v>
      </c>
      <c r="G339" s="18" t="s">
        <v>1092</v>
      </c>
    </row>
    <row r="340" customFormat="false" ht="15" hidden="false" customHeight="false" outlineLevel="0" collapsed="false">
      <c r="A340" s="15" t="n">
        <v>3</v>
      </c>
      <c r="B340" s="16" t="s">
        <v>26</v>
      </c>
      <c r="C340" s="17" t="s">
        <v>1093</v>
      </c>
      <c r="D340" s="17" t="s">
        <v>1094</v>
      </c>
      <c r="E340" s="15" t="s">
        <v>249</v>
      </c>
      <c r="F340" s="17" t="s">
        <v>1095</v>
      </c>
      <c r="G340" s="18" t="s">
        <v>1096</v>
      </c>
    </row>
    <row r="341" customFormat="false" ht="15" hidden="false" customHeight="false" outlineLevel="0" collapsed="false">
      <c r="A341" s="15" t="n">
        <v>3</v>
      </c>
      <c r="B341" s="16" t="s">
        <v>26</v>
      </c>
      <c r="C341" s="17" t="s">
        <v>1097</v>
      </c>
      <c r="D341" s="17" t="s">
        <v>1085</v>
      </c>
      <c r="E341" s="15" t="s">
        <v>511</v>
      </c>
      <c r="F341" s="17" t="s">
        <v>82</v>
      </c>
      <c r="G341" s="18" t="s">
        <v>1098</v>
      </c>
    </row>
    <row r="342" customFormat="false" ht="15" hidden="false" customHeight="false" outlineLevel="0" collapsed="false">
      <c r="A342" s="15" t="n">
        <v>3</v>
      </c>
      <c r="B342" s="16" t="s">
        <v>26</v>
      </c>
      <c r="C342" s="17" t="s">
        <v>1099</v>
      </c>
      <c r="D342" s="17" t="s">
        <v>798</v>
      </c>
      <c r="E342" s="15" t="s">
        <v>249</v>
      </c>
      <c r="F342" s="17" t="s">
        <v>799</v>
      </c>
      <c r="G342" s="18" t="s">
        <v>1100</v>
      </c>
    </row>
    <row r="343" customFormat="false" ht="15" hidden="false" customHeight="false" outlineLevel="0" collapsed="false">
      <c r="A343" s="15" t="n">
        <v>3</v>
      </c>
      <c r="B343" s="16" t="s">
        <v>26</v>
      </c>
      <c r="C343" s="17" t="s">
        <v>1101</v>
      </c>
      <c r="D343" s="17" t="s">
        <v>1102</v>
      </c>
      <c r="E343" s="15" t="s">
        <v>306</v>
      </c>
      <c r="F343" s="17" t="s">
        <v>69</v>
      </c>
      <c r="G343" s="18" t="s">
        <v>1103</v>
      </c>
    </row>
    <row r="344" customFormat="false" ht="15" hidden="false" customHeight="false" outlineLevel="0" collapsed="false">
      <c r="A344" s="15" t="n">
        <v>3</v>
      </c>
      <c r="B344" s="16" t="s">
        <v>26</v>
      </c>
      <c r="C344" s="17" t="s">
        <v>1104</v>
      </c>
      <c r="D344" s="17" t="s">
        <v>1105</v>
      </c>
      <c r="E344" s="15" t="s">
        <v>256</v>
      </c>
      <c r="F344" s="17" t="s">
        <v>1106</v>
      </c>
      <c r="G344" s="18" t="s">
        <v>1107</v>
      </c>
    </row>
    <row r="345" customFormat="false" ht="15" hidden="false" customHeight="false" outlineLevel="0" collapsed="false">
      <c r="A345" s="15" t="n">
        <v>3</v>
      </c>
      <c r="B345" s="16" t="s">
        <v>26</v>
      </c>
      <c r="C345" s="17" t="s">
        <v>1108</v>
      </c>
      <c r="D345" s="17" t="s">
        <v>1109</v>
      </c>
      <c r="E345" s="15" t="s">
        <v>249</v>
      </c>
      <c r="F345" s="17" t="s">
        <v>69</v>
      </c>
      <c r="G345" s="18" t="s">
        <v>1110</v>
      </c>
    </row>
    <row r="346" customFormat="false" ht="15" hidden="false" customHeight="false" outlineLevel="0" collapsed="false">
      <c r="A346" s="15" t="n">
        <v>3</v>
      </c>
      <c r="B346" s="16" t="s">
        <v>26</v>
      </c>
      <c r="C346" s="17" t="s">
        <v>1111</v>
      </c>
      <c r="D346" s="17" t="s">
        <v>1112</v>
      </c>
      <c r="E346" s="15" t="s">
        <v>249</v>
      </c>
      <c r="F346" s="17" t="s">
        <v>55</v>
      </c>
      <c r="G346" s="18" t="s">
        <v>1113</v>
      </c>
    </row>
    <row r="347" customFormat="false" ht="15" hidden="false" customHeight="false" outlineLevel="0" collapsed="false">
      <c r="A347" s="15" t="n">
        <v>3</v>
      </c>
      <c r="B347" s="16" t="s">
        <v>26</v>
      </c>
      <c r="C347" s="17" t="s">
        <v>1114</v>
      </c>
      <c r="D347" s="17" t="s">
        <v>263</v>
      </c>
      <c r="E347" s="15" t="s">
        <v>889</v>
      </c>
      <c r="F347" s="17" t="s">
        <v>125</v>
      </c>
      <c r="G347" s="18" t="s">
        <v>1115</v>
      </c>
    </row>
    <row r="348" customFormat="false" ht="15" hidden="false" customHeight="false" outlineLevel="0" collapsed="false">
      <c r="A348" s="15" t="n">
        <v>3</v>
      </c>
      <c r="B348" s="16" t="s">
        <v>26</v>
      </c>
      <c r="C348" s="17" t="s">
        <v>1116</v>
      </c>
      <c r="D348" s="17" t="s">
        <v>1117</v>
      </c>
      <c r="E348" s="15" t="s">
        <v>256</v>
      </c>
      <c r="F348" s="17" t="s">
        <v>69</v>
      </c>
      <c r="G348" s="18" t="s">
        <v>1118</v>
      </c>
    </row>
    <row r="349" customFormat="false" ht="15" hidden="false" customHeight="false" outlineLevel="0" collapsed="false">
      <c r="A349" s="15" t="n">
        <v>3</v>
      </c>
      <c r="B349" s="16" t="s">
        <v>26</v>
      </c>
      <c r="C349" s="17" t="s">
        <v>1119</v>
      </c>
      <c r="D349" s="17" t="s">
        <v>1120</v>
      </c>
      <c r="E349" s="15" t="s">
        <v>410</v>
      </c>
      <c r="F349" s="17" t="s">
        <v>962</v>
      </c>
      <c r="G349" s="18" t="s">
        <v>1121</v>
      </c>
    </row>
    <row r="350" customFormat="false" ht="15" hidden="false" customHeight="false" outlineLevel="0" collapsed="false">
      <c r="A350" s="15" t="n">
        <v>3</v>
      </c>
      <c r="B350" s="16" t="s">
        <v>26</v>
      </c>
      <c r="C350" s="17" t="s">
        <v>1122</v>
      </c>
      <c r="D350" s="17" t="s">
        <v>1123</v>
      </c>
      <c r="E350" s="15" t="s">
        <v>245</v>
      </c>
      <c r="F350" s="17" t="s">
        <v>443</v>
      </c>
      <c r="G350" s="18" t="s">
        <v>1124</v>
      </c>
    </row>
    <row r="351" customFormat="false" ht="15" hidden="false" customHeight="false" outlineLevel="0" collapsed="false">
      <c r="A351" s="15" t="n">
        <v>3</v>
      </c>
      <c r="B351" s="16" t="s">
        <v>26</v>
      </c>
      <c r="C351" s="17" t="s">
        <v>1125</v>
      </c>
      <c r="D351" s="17" t="s">
        <v>309</v>
      </c>
      <c r="E351" s="15" t="s">
        <v>256</v>
      </c>
      <c r="F351" s="17" t="s">
        <v>311</v>
      </c>
      <c r="G351" s="18" t="s">
        <v>1126</v>
      </c>
    </row>
    <row r="352" customFormat="false" ht="15" hidden="false" customHeight="false" outlineLevel="0" collapsed="false">
      <c r="A352" s="15" t="n">
        <v>3</v>
      </c>
      <c r="B352" s="16" t="s">
        <v>26</v>
      </c>
      <c r="C352" s="17" t="s">
        <v>1127</v>
      </c>
      <c r="D352" s="17" t="s">
        <v>1128</v>
      </c>
      <c r="E352" s="15" t="s">
        <v>256</v>
      </c>
      <c r="F352" s="17" t="s">
        <v>55</v>
      </c>
      <c r="G352" s="18" t="s">
        <v>1129</v>
      </c>
    </row>
    <row r="353" customFormat="false" ht="15" hidden="false" customHeight="false" outlineLevel="0" collapsed="false">
      <c r="A353" s="15" t="n">
        <v>3</v>
      </c>
      <c r="B353" s="16" t="s">
        <v>26</v>
      </c>
      <c r="C353" s="17" t="s">
        <v>1130</v>
      </c>
      <c r="D353" s="17" t="s">
        <v>263</v>
      </c>
      <c r="E353" s="15" t="s">
        <v>1013</v>
      </c>
      <c r="F353" s="17" t="s">
        <v>125</v>
      </c>
      <c r="G353" s="18" t="s">
        <v>1131</v>
      </c>
    </row>
    <row r="354" customFormat="false" ht="15" hidden="false" customHeight="false" outlineLevel="0" collapsed="false">
      <c r="A354" s="15" t="n">
        <v>3</v>
      </c>
      <c r="B354" s="16" t="s">
        <v>26</v>
      </c>
      <c r="C354" s="17" t="s">
        <v>1132</v>
      </c>
      <c r="D354" s="17" t="s">
        <v>1133</v>
      </c>
      <c r="E354" s="15" t="s">
        <v>249</v>
      </c>
      <c r="F354" s="17" t="s">
        <v>82</v>
      </c>
      <c r="G354" s="18" t="s">
        <v>1134</v>
      </c>
    </row>
    <row r="355" customFormat="false" ht="15" hidden="false" customHeight="false" outlineLevel="0" collapsed="false">
      <c r="A355" s="15" t="n">
        <v>3</v>
      </c>
      <c r="B355" s="16" t="s">
        <v>26</v>
      </c>
      <c r="C355" s="17" t="s">
        <v>1135</v>
      </c>
      <c r="D355" s="17" t="s">
        <v>1136</v>
      </c>
      <c r="E355" s="15" t="s">
        <v>306</v>
      </c>
      <c r="F355" s="17" t="s">
        <v>55</v>
      </c>
      <c r="G355" s="18" t="s">
        <v>1137</v>
      </c>
    </row>
    <row r="356" customFormat="false" ht="15" hidden="false" customHeight="false" outlineLevel="0" collapsed="false">
      <c r="A356" s="15" t="n">
        <v>3</v>
      </c>
      <c r="B356" s="16" t="s">
        <v>26</v>
      </c>
      <c r="C356" s="17" t="s">
        <v>1138</v>
      </c>
      <c r="D356" s="17" t="s">
        <v>1139</v>
      </c>
      <c r="E356" s="15" t="s">
        <v>306</v>
      </c>
      <c r="F356" s="17" t="s">
        <v>1140</v>
      </c>
      <c r="G356" s="18" t="s">
        <v>1141</v>
      </c>
    </row>
    <row r="357" customFormat="false" ht="15" hidden="false" customHeight="false" outlineLevel="0" collapsed="false">
      <c r="A357" s="15" t="n">
        <v>3</v>
      </c>
      <c r="B357" s="16" t="s">
        <v>26</v>
      </c>
      <c r="C357" s="17" t="s">
        <v>1142</v>
      </c>
      <c r="D357" s="17" t="s">
        <v>1143</v>
      </c>
      <c r="E357" s="15" t="s">
        <v>249</v>
      </c>
      <c r="F357" s="17" t="s">
        <v>656</v>
      </c>
      <c r="G357" s="18" t="s">
        <v>1144</v>
      </c>
    </row>
    <row r="358" customFormat="false" ht="15" hidden="false" customHeight="false" outlineLevel="0" collapsed="false">
      <c r="A358" s="15" t="n">
        <v>3</v>
      </c>
      <c r="B358" s="16" t="s">
        <v>26</v>
      </c>
      <c r="C358" s="17" t="s">
        <v>1145</v>
      </c>
      <c r="D358" s="17" t="s">
        <v>1146</v>
      </c>
      <c r="E358" s="15" t="s">
        <v>294</v>
      </c>
      <c r="F358" s="17" t="s">
        <v>962</v>
      </c>
      <c r="G358" s="18" t="s">
        <v>1147</v>
      </c>
    </row>
    <row r="359" customFormat="false" ht="15" hidden="false" customHeight="false" outlineLevel="0" collapsed="false">
      <c r="A359" s="15" t="n">
        <v>3</v>
      </c>
      <c r="B359" s="16" t="s">
        <v>26</v>
      </c>
      <c r="C359" s="17" t="s">
        <v>1148</v>
      </c>
      <c r="D359" s="17" t="s">
        <v>1149</v>
      </c>
      <c r="E359" s="15" t="s">
        <v>249</v>
      </c>
      <c r="F359" s="17" t="s">
        <v>656</v>
      </c>
      <c r="G359" s="18" t="s">
        <v>1150</v>
      </c>
    </row>
    <row r="360" customFormat="false" ht="15" hidden="false" customHeight="false" outlineLevel="0" collapsed="false">
      <c r="A360" s="15" t="n">
        <v>3</v>
      </c>
      <c r="B360" s="16" t="s">
        <v>26</v>
      </c>
      <c r="C360" s="17" t="s">
        <v>1151</v>
      </c>
      <c r="D360" s="17" t="s">
        <v>1152</v>
      </c>
      <c r="E360" s="15" t="s">
        <v>294</v>
      </c>
      <c r="F360" s="17" t="s">
        <v>55</v>
      </c>
      <c r="G360" s="18" t="s">
        <v>1153</v>
      </c>
    </row>
    <row r="361" customFormat="false" ht="15" hidden="false" customHeight="false" outlineLevel="0" collapsed="false">
      <c r="A361" s="15" t="n">
        <v>3</v>
      </c>
      <c r="B361" s="16" t="s">
        <v>26</v>
      </c>
      <c r="C361" s="17" t="s">
        <v>1154</v>
      </c>
      <c r="D361" s="17" t="s">
        <v>1105</v>
      </c>
      <c r="E361" s="15" t="s">
        <v>245</v>
      </c>
      <c r="F361" s="17" t="s">
        <v>55</v>
      </c>
      <c r="G361" s="18" t="s">
        <v>1155</v>
      </c>
    </row>
    <row r="362" customFormat="false" ht="15" hidden="false" customHeight="false" outlineLevel="0" collapsed="false">
      <c r="A362" s="15" t="n">
        <v>3</v>
      </c>
      <c r="B362" s="16" t="s">
        <v>26</v>
      </c>
      <c r="C362" s="17" t="s">
        <v>1156</v>
      </c>
      <c r="D362" s="17" t="s">
        <v>1157</v>
      </c>
      <c r="E362" s="15" t="s">
        <v>256</v>
      </c>
      <c r="F362" s="17" t="s">
        <v>1158</v>
      </c>
      <c r="G362" s="18" t="s">
        <v>1159</v>
      </c>
    </row>
    <row r="363" customFormat="false" ht="15" hidden="false" customHeight="false" outlineLevel="0" collapsed="false">
      <c r="A363" s="15" t="n">
        <v>3</v>
      </c>
      <c r="B363" s="16" t="s">
        <v>26</v>
      </c>
      <c r="C363" s="17" t="s">
        <v>1160</v>
      </c>
      <c r="D363" s="17" t="s">
        <v>1161</v>
      </c>
      <c r="E363" s="15" t="s">
        <v>306</v>
      </c>
      <c r="F363" s="17" t="s">
        <v>69</v>
      </c>
      <c r="G363" s="18" t="s">
        <v>1162</v>
      </c>
    </row>
    <row r="364" customFormat="false" ht="15" hidden="false" customHeight="false" outlineLevel="0" collapsed="false">
      <c r="A364" s="15" t="n">
        <v>3</v>
      </c>
      <c r="B364" s="16" t="s">
        <v>26</v>
      </c>
      <c r="C364" s="17" t="s">
        <v>1163</v>
      </c>
      <c r="D364" s="17" t="s">
        <v>1164</v>
      </c>
      <c r="E364" s="15" t="s">
        <v>249</v>
      </c>
      <c r="F364" s="17" t="s">
        <v>283</v>
      </c>
      <c r="G364" s="18" t="s">
        <v>1165</v>
      </c>
    </row>
    <row r="365" customFormat="false" ht="15" hidden="false" customHeight="false" outlineLevel="0" collapsed="false">
      <c r="A365" s="15" t="n">
        <v>3</v>
      </c>
      <c r="B365" s="16" t="s">
        <v>26</v>
      </c>
      <c r="C365" s="17" t="s">
        <v>1166</v>
      </c>
      <c r="D365" s="17" t="s">
        <v>1167</v>
      </c>
      <c r="E365" s="15" t="s">
        <v>249</v>
      </c>
      <c r="F365" s="17" t="s">
        <v>138</v>
      </c>
      <c r="G365" s="18" t="s">
        <v>1168</v>
      </c>
    </row>
    <row r="366" customFormat="false" ht="15" hidden="false" customHeight="false" outlineLevel="0" collapsed="false">
      <c r="A366" s="15" t="n">
        <v>3</v>
      </c>
      <c r="B366" s="16" t="s">
        <v>26</v>
      </c>
      <c r="C366" s="17" t="s">
        <v>1169</v>
      </c>
      <c r="D366" s="17" t="s">
        <v>1170</v>
      </c>
      <c r="E366" s="15" t="s">
        <v>294</v>
      </c>
      <c r="F366" s="17" t="s">
        <v>962</v>
      </c>
      <c r="G366" s="18" t="s">
        <v>1171</v>
      </c>
    </row>
    <row r="367" customFormat="false" ht="15" hidden="false" customHeight="false" outlineLevel="0" collapsed="false">
      <c r="A367" s="15" t="n">
        <v>3</v>
      </c>
      <c r="B367" s="16" t="s">
        <v>26</v>
      </c>
      <c r="C367" s="17" t="s">
        <v>1172</v>
      </c>
      <c r="D367" s="17" t="s">
        <v>1173</v>
      </c>
      <c r="E367" s="15" t="s">
        <v>256</v>
      </c>
      <c r="F367" s="17" t="s">
        <v>1174</v>
      </c>
      <c r="G367" s="18" t="s">
        <v>1175</v>
      </c>
    </row>
    <row r="368" customFormat="false" ht="15" hidden="false" customHeight="false" outlineLevel="0" collapsed="false">
      <c r="A368" s="15" t="n">
        <v>3</v>
      </c>
      <c r="B368" s="16" t="s">
        <v>26</v>
      </c>
      <c r="C368" s="17" t="s">
        <v>1176</v>
      </c>
      <c r="D368" s="17" t="s">
        <v>1177</v>
      </c>
      <c r="E368" s="15" t="s">
        <v>249</v>
      </c>
      <c r="F368" s="17" t="s">
        <v>257</v>
      </c>
      <c r="G368" s="18" t="s">
        <v>1178</v>
      </c>
    </row>
    <row r="369" customFormat="false" ht="15" hidden="false" customHeight="false" outlineLevel="0" collapsed="false">
      <c r="A369" s="15" t="n">
        <v>3</v>
      </c>
      <c r="B369" s="16" t="s">
        <v>26</v>
      </c>
      <c r="C369" s="17" t="s">
        <v>1179</v>
      </c>
      <c r="D369" s="17" t="s">
        <v>1085</v>
      </c>
      <c r="E369" s="15" t="s">
        <v>324</v>
      </c>
      <c r="F369" s="17" t="s">
        <v>82</v>
      </c>
      <c r="G369" s="18" t="s">
        <v>1180</v>
      </c>
    </row>
    <row r="370" customFormat="false" ht="15" hidden="false" customHeight="false" outlineLevel="0" collapsed="false">
      <c r="A370" s="15" t="n">
        <v>3</v>
      </c>
      <c r="B370" s="16" t="s">
        <v>26</v>
      </c>
      <c r="C370" s="17" t="s">
        <v>1181</v>
      </c>
      <c r="D370" s="17" t="s">
        <v>1182</v>
      </c>
      <c r="E370" s="15" t="s">
        <v>256</v>
      </c>
      <c r="F370" s="17" t="s">
        <v>55</v>
      </c>
      <c r="G370" s="18" t="s">
        <v>1183</v>
      </c>
    </row>
    <row r="371" customFormat="false" ht="15" hidden="false" customHeight="false" outlineLevel="0" collapsed="false">
      <c r="A371" s="19" t="n">
        <v>3</v>
      </c>
      <c r="B371" s="20" t="s">
        <v>396</v>
      </c>
      <c r="C371" s="21" t="s">
        <v>1184</v>
      </c>
      <c r="D371" s="21" t="s">
        <v>1185</v>
      </c>
      <c r="E371" s="19" t="s">
        <v>846</v>
      </c>
      <c r="F371" s="21" t="s">
        <v>125</v>
      </c>
      <c r="G371" s="22" t="s">
        <v>1186</v>
      </c>
    </row>
    <row r="372" customFormat="false" ht="15" hidden="false" customHeight="false" outlineLevel="0" collapsed="false">
      <c r="A372" s="19" t="n">
        <v>3</v>
      </c>
      <c r="B372" s="20" t="s">
        <v>396</v>
      </c>
      <c r="C372" s="21" t="s">
        <v>1187</v>
      </c>
      <c r="D372" s="21" t="s">
        <v>1188</v>
      </c>
      <c r="E372" s="19" t="s">
        <v>324</v>
      </c>
      <c r="F372" s="21" t="s">
        <v>125</v>
      </c>
      <c r="G372" s="22" t="s">
        <v>1189</v>
      </c>
    </row>
    <row r="373" customFormat="false" ht="15" hidden="false" customHeight="false" outlineLevel="0" collapsed="false">
      <c r="A373" s="19" t="n">
        <v>3</v>
      </c>
      <c r="B373" s="20" t="s">
        <v>396</v>
      </c>
      <c r="C373" s="21" t="s">
        <v>1190</v>
      </c>
      <c r="D373" s="21" t="s">
        <v>1191</v>
      </c>
      <c r="E373" s="19" t="s">
        <v>105</v>
      </c>
      <c r="F373" s="21" t="s">
        <v>55</v>
      </c>
      <c r="G373" s="22" t="s">
        <v>1192</v>
      </c>
    </row>
    <row r="374" customFormat="false" ht="15" hidden="false" customHeight="false" outlineLevel="0" collapsed="false">
      <c r="A374" s="19" t="n">
        <v>3</v>
      </c>
      <c r="B374" s="20" t="s">
        <v>396</v>
      </c>
      <c r="C374" s="21" t="s">
        <v>1193</v>
      </c>
      <c r="D374" s="21" t="s">
        <v>1194</v>
      </c>
      <c r="E374" s="19" t="s">
        <v>495</v>
      </c>
      <c r="F374" s="21" t="s">
        <v>55</v>
      </c>
      <c r="G374" s="22" t="s">
        <v>1195</v>
      </c>
    </row>
    <row r="375" customFormat="false" ht="15" hidden="false" customHeight="false" outlineLevel="0" collapsed="false">
      <c r="A375" s="19" t="n">
        <v>3</v>
      </c>
      <c r="B375" s="20" t="s">
        <v>396</v>
      </c>
      <c r="C375" s="21" t="s">
        <v>1196</v>
      </c>
      <c r="D375" s="21" t="s">
        <v>1197</v>
      </c>
      <c r="E375" s="19" t="s">
        <v>1198</v>
      </c>
      <c r="F375" s="21" t="s">
        <v>55</v>
      </c>
      <c r="G375" s="22" t="s">
        <v>1199</v>
      </c>
    </row>
    <row r="376" customFormat="false" ht="15" hidden="false" customHeight="false" outlineLevel="0" collapsed="false">
      <c r="A376" s="19" t="n">
        <v>3</v>
      </c>
      <c r="B376" s="20" t="s">
        <v>396</v>
      </c>
      <c r="C376" s="21" t="s">
        <v>1200</v>
      </c>
      <c r="D376" s="21" t="s">
        <v>1201</v>
      </c>
      <c r="E376" s="19" t="s">
        <v>492</v>
      </c>
      <c r="F376" s="21" t="s">
        <v>1202</v>
      </c>
      <c r="G376" s="22" t="s">
        <v>1203</v>
      </c>
    </row>
    <row r="377" customFormat="false" ht="15" hidden="false" customHeight="false" outlineLevel="0" collapsed="false">
      <c r="A377" s="19" t="n">
        <v>3</v>
      </c>
      <c r="B377" s="20" t="s">
        <v>396</v>
      </c>
      <c r="C377" s="21" t="s">
        <v>1204</v>
      </c>
      <c r="D377" s="21" t="s">
        <v>108</v>
      </c>
      <c r="E377" s="19" t="s">
        <v>492</v>
      </c>
      <c r="F377" s="21" t="s">
        <v>1205</v>
      </c>
      <c r="G377" s="22" t="s">
        <v>1206</v>
      </c>
    </row>
    <row r="378" customFormat="false" ht="15" hidden="false" customHeight="false" outlineLevel="0" collapsed="false">
      <c r="A378" s="19" t="n">
        <v>3</v>
      </c>
      <c r="B378" s="20" t="s">
        <v>396</v>
      </c>
      <c r="C378" s="21" t="s">
        <v>1207</v>
      </c>
      <c r="D378" s="21" t="s">
        <v>1208</v>
      </c>
      <c r="E378" s="19" t="s">
        <v>410</v>
      </c>
      <c r="F378" s="21" t="s">
        <v>55</v>
      </c>
      <c r="G378" s="22" t="s">
        <v>1209</v>
      </c>
    </row>
    <row r="379" customFormat="false" ht="15" hidden="false" customHeight="false" outlineLevel="0" collapsed="false">
      <c r="A379" s="19" t="n">
        <v>3</v>
      </c>
      <c r="B379" s="20" t="s">
        <v>396</v>
      </c>
      <c r="C379" s="21" t="s">
        <v>1210</v>
      </c>
      <c r="D379" s="21" t="s">
        <v>1211</v>
      </c>
      <c r="E379" s="19" t="s">
        <v>808</v>
      </c>
      <c r="F379" s="21" t="s">
        <v>915</v>
      </c>
      <c r="G379" s="22" t="s">
        <v>1212</v>
      </c>
    </row>
    <row r="380" customFormat="false" ht="15" hidden="false" customHeight="false" outlineLevel="0" collapsed="false">
      <c r="A380" s="19" t="n">
        <v>3</v>
      </c>
      <c r="B380" s="20" t="s">
        <v>396</v>
      </c>
      <c r="C380" s="21" t="s">
        <v>1213</v>
      </c>
      <c r="D380" s="21" t="s">
        <v>961</v>
      </c>
      <c r="E380" s="19" t="s">
        <v>502</v>
      </c>
      <c r="F380" s="21" t="s">
        <v>962</v>
      </c>
      <c r="G380" s="22" t="s">
        <v>1214</v>
      </c>
    </row>
    <row r="381" customFormat="false" ht="15" hidden="false" customHeight="false" outlineLevel="0" collapsed="false">
      <c r="A381" s="19" t="n">
        <v>3</v>
      </c>
      <c r="B381" s="20" t="s">
        <v>396</v>
      </c>
      <c r="C381" s="21" t="s">
        <v>1215</v>
      </c>
      <c r="D381" s="21" t="s">
        <v>961</v>
      </c>
      <c r="E381" s="19" t="s">
        <v>468</v>
      </c>
      <c r="F381" s="21" t="s">
        <v>962</v>
      </c>
      <c r="G381" s="22" t="s">
        <v>1216</v>
      </c>
    </row>
    <row r="382" customFormat="false" ht="15" hidden="false" customHeight="false" outlineLevel="0" collapsed="false">
      <c r="A382" s="19" t="n">
        <v>3</v>
      </c>
      <c r="B382" s="20" t="s">
        <v>396</v>
      </c>
      <c r="C382" s="21" t="s">
        <v>1217</v>
      </c>
      <c r="D382" s="21" t="s">
        <v>1218</v>
      </c>
      <c r="E382" s="19" t="s">
        <v>245</v>
      </c>
      <c r="F382" s="21" t="s">
        <v>55</v>
      </c>
      <c r="G382" s="22" t="s">
        <v>1219</v>
      </c>
    </row>
    <row r="383" customFormat="false" ht="15" hidden="false" customHeight="false" outlineLevel="0" collapsed="false">
      <c r="A383" s="19" t="n">
        <v>3</v>
      </c>
      <c r="B383" s="20" t="s">
        <v>396</v>
      </c>
      <c r="C383" s="21" t="s">
        <v>1220</v>
      </c>
      <c r="D383" s="21" t="s">
        <v>1221</v>
      </c>
      <c r="E383" s="19" t="s">
        <v>761</v>
      </c>
      <c r="F383" s="21" t="s">
        <v>915</v>
      </c>
      <c r="G383" s="22" t="s">
        <v>1222</v>
      </c>
    </row>
    <row r="384" customFormat="false" ht="15" hidden="false" customHeight="false" outlineLevel="0" collapsed="false">
      <c r="A384" s="19" t="n">
        <v>3</v>
      </c>
      <c r="B384" s="20" t="s">
        <v>396</v>
      </c>
      <c r="C384" s="21" t="s">
        <v>1223</v>
      </c>
      <c r="D384" s="21" t="s">
        <v>1224</v>
      </c>
      <c r="E384" s="19" t="s">
        <v>811</v>
      </c>
      <c r="F384" s="21" t="s">
        <v>272</v>
      </c>
      <c r="G384" s="22" t="s">
        <v>1225</v>
      </c>
    </row>
    <row r="385" customFormat="false" ht="15" hidden="false" customHeight="false" outlineLevel="0" collapsed="false">
      <c r="A385" s="19" t="n">
        <v>3</v>
      </c>
      <c r="B385" s="20" t="s">
        <v>396</v>
      </c>
      <c r="C385" s="21" t="s">
        <v>1226</v>
      </c>
      <c r="D385" s="21" t="s">
        <v>1227</v>
      </c>
      <c r="E385" s="19" t="s">
        <v>78</v>
      </c>
      <c r="F385" s="21" t="s">
        <v>69</v>
      </c>
      <c r="G385" s="22" t="s">
        <v>1228</v>
      </c>
    </row>
    <row r="386" customFormat="false" ht="15" hidden="false" customHeight="false" outlineLevel="0" collapsed="false">
      <c r="A386" s="19" t="n">
        <v>3</v>
      </c>
      <c r="B386" s="20" t="s">
        <v>396</v>
      </c>
      <c r="C386" s="21" t="s">
        <v>1229</v>
      </c>
      <c r="D386" s="21" t="s">
        <v>1230</v>
      </c>
      <c r="E386" s="19" t="s">
        <v>761</v>
      </c>
      <c r="F386" s="21" t="s">
        <v>69</v>
      </c>
      <c r="G386" s="22" t="s">
        <v>1231</v>
      </c>
    </row>
    <row r="387" customFormat="false" ht="15" hidden="false" customHeight="false" outlineLevel="0" collapsed="false">
      <c r="A387" s="19" t="n">
        <v>3</v>
      </c>
      <c r="B387" s="20" t="s">
        <v>396</v>
      </c>
      <c r="C387" s="21" t="s">
        <v>1232</v>
      </c>
      <c r="D387" s="21" t="s">
        <v>1233</v>
      </c>
      <c r="E387" s="19" t="s">
        <v>85</v>
      </c>
      <c r="F387" s="21" t="s">
        <v>69</v>
      </c>
      <c r="G387" s="22" t="s">
        <v>1234</v>
      </c>
    </row>
    <row r="388" customFormat="false" ht="15" hidden="false" customHeight="false" outlineLevel="0" collapsed="false">
      <c r="A388" s="19" t="n">
        <v>3</v>
      </c>
      <c r="B388" s="20" t="s">
        <v>396</v>
      </c>
      <c r="C388" s="21" t="s">
        <v>1235</v>
      </c>
      <c r="D388" s="21" t="s">
        <v>1236</v>
      </c>
      <c r="E388" s="19" t="s">
        <v>846</v>
      </c>
      <c r="F388" s="21" t="s">
        <v>55</v>
      </c>
      <c r="G388" s="22" t="s">
        <v>1237</v>
      </c>
    </row>
    <row r="389" customFormat="false" ht="15" hidden="false" customHeight="false" outlineLevel="0" collapsed="false">
      <c r="A389" s="19" t="n">
        <v>3</v>
      </c>
      <c r="B389" s="20" t="s">
        <v>396</v>
      </c>
      <c r="C389" s="21" t="s">
        <v>1238</v>
      </c>
      <c r="D389" s="21" t="s">
        <v>1239</v>
      </c>
      <c r="E389" s="19" t="s">
        <v>875</v>
      </c>
      <c r="F389" s="21" t="s">
        <v>915</v>
      </c>
      <c r="G389" s="22" t="s">
        <v>1240</v>
      </c>
    </row>
    <row r="390" customFormat="false" ht="15" hidden="false" customHeight="false" outlineLevel="0" collapsed="false">
      <c r="A390" s="19" t="n">
        <v>3</v>
      </c>
      <c r="B390" s="20" t="s">
        <v>396</v>
      </c>
      <c r="C390" s="21" t="s">
        <v>1241</v>
      </c>
      <c r="D390" s="21" t="s">
        <v>1242</v>
      </c>
      <c r="E390" s="19" t="s">
        <v>333</v>
      </c>
      <c r="F390" s="21" t="s">
        <v>1243</v>
      </c>
      <c r="G390" s="22" t="s">
        <v>1244</v>
      </c>
    </row>
    <row r="391" customFormat="false" ht="15" hidden="false" customHeight="false" outlineLevel="0" collapsed="false">
      <c r="A391" s="19" t="n">
        <v>3</v>
      </c>
      <c r="B391" s="20" t="s">
        <v>396</v>
      </c>
      <c r="C391" s="21" t="s">
        <v>1245</v>
      </c>
      <c r="D391" s="21" t="s">
        <v>1246</v>
      </c>
      <c r="E391" s="19" t="s">
        <v>430</v>
      </c>
      <c r="F391" s="21" t="s">
        <v>69</v>
      </c>
      <c r="G391" s="22" t="s">
        <v>1247</v>
      </c>
    </row>
    <row r="392" customFormat="false" ht="15" hidden="false" customHeight="false" outlineLevel="0" collapsed="false">
      <c r="A392" s="19" t="n">
        <v>3</v>
      </c>
      <c r="B392" s="20" t="s">
        <v>396</v>
      </c>
      <c r="C392" s="21" t="s">
        <v>1248</v>
      </c>
      <c r="D392" s="21" t="s">
        <v>1249</v>
      </c>
      <c r="E392" s="19" t="s">
        <v>468</v>
      </c>
      <c r="F392" s="21" t="s">
        <v>69</v>
      </c>
      <c r="G392" s="22" t="s">
        <v>1250</v>
      </c>
    </row>
    <row r="393" customFormat="false" ht="15" hidden="false" customHeight="false" outlineLevel="0" collapsed="false">
      <c r="A393" s="19" t="n">
        <v>3</v>
      </c>
      <c r="B393" s="20" t="s">
        <v>396</v>
      </c>
      <c r="C393" s="21" t="s">
        <v>1251</v>
      </c>
      <c r="D393" s="21" t="s">
        <v>1252</v>
      </c>
      <c r="E393" s="19" t="s">
        <v>811</v>
      </c>
      <c r="F393" s="21" t="s">
        <v>55</v>
      </c>
      <c r="G393" s="22" t="s">
        <v>1253</v>
      </c>
    </row>
    <row r="394" customFormat="false" ht="15" hidden="false" customHeight="false" outlineLevel="0" collapsed="false">
      <c r="A394" s="19" t="n">
        <v>3</v>
      </c>
      <c r="B394" s="20" t="s">
        <v>396</v>
      </c>
      <c r="C394" s="21" t="s">
        <v>1254</v>
      </c>
      <c r="D394" s="21" t="s">
        <v>1182</v>
      </c>
      <c r="E394" s="19" t="s">
        <v>333</v>
      </c>
      <c r="F394" s="21" t="s">
        <v>1255</v>
      </c>
      <c r="G394" s="22" t="s">
        <v>1256</v>
      </c>
    </row>
    <row r="395" customFormat="false" ht="15" hidden="false" customHeight="false" outlineLevel="0" collapsed="false">
      <c r="A395" s="19" t="n">
        <v>3</v>
      </c>
      <c r="B395" s="20" t="s">
        <v>396</v>
      </c>
      <c r="C395" s="21" t="s">
        <v>1257</v>
      </c>
      <c r="D395" s="21" t="s">
        <v>1258</v>
      </c>
      <c r="E395" s="19" t="s">
        <v>324</v>
      </c>
      <c r="F395" s="21" t="s">
        <v>55</v>
      </c>
      <c r="G395" s="22" t="s">
        <v>1259</v>
      </c>
    </row>
    <row r="396" customFormat="false" ht="15" hidden="false" customHeight="false" outlineLevel="0" collapsed="false">
      <c r="A396" s="19" t="n">
        <v>3</v>
      </c>
      <c r="B396" s="20" t="s">
        <v>396</v>
      </c>
      <c r="C396" s="21" t="s">
        <v>1260</v>
      </c>
      <c r="D396" s="21" t="s">
        <v>1261</v>
      </c>
      <c r="E396" s="19" t="s">
        <v>256</v>
      </c>
      <c r="F396" s="21" t="s">
        <v>125</v>
      </c>
      <c r="G396" s="22" t="s">
        <v>1262</v>
      </c>
    </row>
    <row r="397" customFormat="false" ht="15" hidden="false" customHeight="false" outlineLevel="0" collapsed="false">
      <c r="A397" s="19" t="n">
        <v>3</v>
      </c>
      <c r="B397" s="20" t="s">
        <v>396</v>
      </c>
      <c r="C397" s="21" t="s">
        <v>1263</v>
      </c>
      <c r="D397" s="21" t="s">
        <v>1264</v>
      </c>
      <c r="E397" s="19" t="s">
        <v>1265</v>
      </c>
      <c r="F397" s="21" t="s">
        <v>55</v>
      </c>
      <c r="G397" s="22" t="s">
        <v>1266</v>
      </c>
    </row>
    <row r="398" customFormat="false" ht="15" hidden="false" customHeight="false" outlineLevel="0" collapsed="false">
      <c r="A398" s="19" t="n">
        <v>3</v>
      </c>
      <c r="B398" s="20" t="s">
        <v>396</v>
      </c>
      <c r="C398" s="21" t="s">
        <v>1267</v>
      </c>
      <c r="D398" s="21" t="s">
        <v>1211</v>
      </c>
      <c r="E398" s="19" t="s">
        <v>839</v>
      </c>
      <c r="F398" s="21" t="s">
        <v>915</v>
      </c>
      <c r="G398" s="22" t="s">
        <v>1268</v>
      </c>
    </row>
    <row r="399" customFormat="false" ht="15" hidden="false" customHeight="false" outlineLevel="0" collapsed="false">
      <c r="A399" s="19" t="n">
        <v>3</v>
      </c>
      <c r="B399" s="20" t="s">
        <v>396</v>
      </c>
      <c r="C399" s="21" t="s">
        <v>1269</v>
      </c>
      <c r="D399" s="21" t="s">
        <v>1270</v>
      </c>
      <c r="E399" s="19" t="s">
        <v>433</v>
      </c>
      <c r="F399" s="21" t="s">
        <v>138</v>
      </c>
      <c r="G399" s="22" t="s">
        <v>1271</v>
      </c>
    </row>
    <row r="400" customFormat="false" ht="15" hidden="false" customHeight="false" outlineLevel="0" collapsed="false">
      <c r="A400" s="19" t="n">
        <v>3</v>
      </c>
      <c r="B400" s="20" t="s">
        <v>396</v>
      </c>
      <c r="C400" s="21" t="s">
        <v>1272</v>
      </c>
      <c r="D400" s="21" t="s">
        <v>1273</v>
      </c>
      <c r="E400" s="19" t="s">
        <v>1274</v>
      </c>
      <c r="F400" s="21" t="s">
        <v>55</v>
      </c>
      <c r="G400" s="22" t="s">
        <v>1275</v>
      </c>
    </row>
    <row r="401" customFormat="false" ht="15" hidden="false" customHeight="false" outlineLevel="0" collapsed="false">
      <c r="A401" s="19" t="n">
        <v>3</v>
      </c>
      <c r="B401" s="20" t="s">
        <v>396</v>
      </c>
      <c r="C401" s="21" t="s">
        <v>1276</v>
      </c>
      <c r="D401" s="21" t="s">
        <v>1277</v>
      </c>
      <c r="E401" s="19" t="s">
        <v>245</v>
      </c>
      <c r="F401" s="21" t="s">
        <v>55</v>
      </c>
      <c r="G401" s="22" t="s">
        <v>1278</v>
      </c>
    </row>
    <row r="402" customFormat="false" ht="15" hidden="false" customHeight="false" outlineLevel="0" collapsed="false">
      <c r="A402" s="19" t="n">
        <v>3</v>
      </c>
      <c r="B402" s="20" t="s">
        <v>396</v>
      </c>
      <c r="C402" s="21" t="s">
        <v>1279</v>
      </c>
      <c r="D402" s="21" t="s">
        <v>1233</v>
      </c>
      <c r="E402" s="19" t="s">
        <v>442</v>
      </c>
      <c r="F402" s="21" t="s">
        <v>69</v>
      </c>
      <c r="G402" s="22" t="s">
        <v>1280</v>
      </c>
    </row>
    <row r="403" customFormat="false" ht="15" hidden="false" customHeight="false" outlineLevel="0" collapsed="false">
      <c r="A403" s="19" t="n">
        <v>3</v>
      </c>
      <c r="B403" s="20" t="s">
        <v>396</v>
      </c>
      <c r="C403" s="21" t="s">
        <v>1281</v>
      </c>
      <c r="D403" s="21" t="s">
        <v>1261</v>
      </c>
      <c r="E403" s="19" t="s">
        <v>294</v>
      </c>
      <c r="F403" s="21" t="s">
        <v>125</v>
      </c>
      <c r="G403" s="22" t="s">
        <v>1282</v>
      </c>
    </row>
    <row r="404" customFormat="false" ht="15" hidden="false" customHeight="false" outlineLevel="0" collapsed="false">
      <c r="A404" s="19" t="n">
        <v>3</v>
      </c>
      <c r="B404" s="20" t="s">
        <v>396</v>
      </c>
      <c r="C404" s="21" t="s">
        <v>1283</v>
      </c>
      <c r="D404" s="21" t="s">
        <v>1284</v>
      </c>
      <c r="E404" s="19" t="s">
        <v>68</v>
      </c>
      <c r="F404" s="21" t="s">
        <v>55</v>
      </c>
      <c r="G404" s="22" t="s">
        <v>1285</v>
      </c>
    </row>
    <row r="405" customFormat="false" ht="15" hidden="false" customHeight="false" outlineLevel="0" collapsed="false">
      <c r="A405" s="19" t="n">
        <v>3</v>
      </c>
      <c r="B405" s="20" t="s">
        <v>396</v>
      </c>
      <c r="C405" s="21" t="s">
        <v>1286</v>
      </c>
      <c r="D405" s="21" t="s">
        <v>1188</v>
      </c>
      <c r="E405" s="19" t="s">
        <v>333</v>
      </c>
      <c r="F405" s="21" t="s">
        <v>125</v>
      </c>
      <c r="G405" s="22" t="s">
        <v>1287</v>
      </c>
    </row>
    <row r="406" customFormat="false" ht="15" hidden="false" customHeight="false" outlineLevel="0" collapsed="false">
      <c r="A406" s="19" t="n">
        <v>3</v>
      </c>
      <c r="B406" s="20" t="s">
        <v>396</v>
      </c>
      <c r="C406" s="21" t="s">
        <v>1288</v>
      </c>
      <c r="D406" s="21" t="s">
        <v>1191</v>
      </c>
      <c r="E406" s="19" t="s">
        <v>105</v>
      </c>
      <c r="F406" s="21" t="s">
        <v>55</v>
      </c>
      <c r="G406" s="22" t="s">
        <v>1289</v>
      </c>
    </row>
  </sheetData>
  <autoFilter ref="A1:G4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9.4" hidden="false" customHeight="false" outlineLevel="0" collapsed="false">
      <c r="A1" s="23" t="s">
        <v>1290</v>
      </c>
      <c r="B1" s="23"/>
      <c r="C1" s="23"/>
      <c r="D1" s="23"/>
      <c r="E1" s="23"/>
    </row>
    <row r="3" customFormat="false" ht="15" hidden="false" customHeight="false" outlineLevel="0" collapsed="false">
      <c r="A3" s="24"/>
      <c r="B3" s="25" t="s">
        <v>1291</v>
      </c>
      <c r="C3" s="25" t="s">
        <v>26</v>
      </c>
      <c r="D3" s="25" t="s">
        <v>1292</v>
      </c>
      <c r="E3" s="25" t="s">
        <v>1293</v>
      </c>
    </row>
    <row r="4" customFormat="false" ht="15" hidden="false" customHeight="false" outlineLevel="0" collapsed="false">
      <c r="A4" s="26" t="s">
        <v>31</v>
      </c>
      <c r="B4" s="27" t="n">
        <f aca="false">COUNTIFS('후보 405'!$A$2:$A$406,1,'후보 405'!$B$2:$B$406,"정전 backfill")</f>
        <v>55</v>
      </c>
      <c r="C4" s="27" t="n">
        <f aca="false">COUNTIFS('후보 405'!$A$2:$A$406,1,'후보 405'!$B$2:$B$406,"동시대 큐레이션")</f>
        <v>44</v>
      </c>
      <c r="D4" s="27" t="n">
        <f aca="false">COUNTIFS('후보 405'!$A$2:$A$406,1,'후보 405'!$B$2:$B$406,"대중·장르")</f>
        <v>37</v>
      </c>
      <c r="E4" s="28" t="n">
        <f aca="false">SUM(B4:D4)</f>
        <v>136</v>
      </c>
    </row>
    <row r="5" customFormat="false" ht="15" hidden="false" customHeight="false" outlineLevel="0" collapsed="false">
      <c r="A5" s="26" t="s">
        <v>1294</v>
      </c>
      <c r="B5" s="27" t="n">
        <f aca="false">COUNTIFS('후보 405'!$A$2:$A$406,2,'후보 405'!$B$2:$B$406,"정전 backfill")</f>
        <v>55</v>
      </c>
      <c r="C5" s="27" t="n">
        <f aca="false">COUNTIFS('후보 405'!$A$2:$A$406,2,'후보 405'!$B$2:$B$406,"동시대 큐레이션")</f>
        <v>44</v>
      </c>
      <c r="D5" s="27" t="n">
        <f aca="false">COUNTIFS('후보 405'!$A$2:$A$406,2,'후보 405'!$B$2:$B$406,"대중·장르")</f>
        <v>36</v>
      </c>
      <c r="E5" s="28" t="n">
        <f aca="false">SUM(B5:D5)</f>
        <v>135</v>
      </c>
    </row>
    <row r="6" customFormat="false" ht="15" hidden="false" customHeight="false" outlineLevel="0" collapsed="false">
      <c r="A6" s="26" t="s">
        <v>1295</v>
      </c>
      <c r="B6" s="27" t="n">
        <f aca="false">COUNTIFS('후보 405'!$A$2:$A$406,3,'후보 405'!$B$2:$B$406,"정전 backfill")</f>
        <v>54</v>
      </c>
      <c r="C6" s="27" t="n">
        <f aca="false">COUNTIFS('후보 405'!$A$2:$A$406,3,'후보 405'!$B$2:$B$406,"동시대 큐레이션")</f>
        <v>44</v>
      </c>
      <c r="D6" s="27" t="n">
        <f aca="false">COUNTIFS('후보 405'!$A$2:$A$406,3,'후보 405'!$B$2:$B$406,"대중·장르")</f>
        <v>36</v>
      </c>
      <c r="E6" s="28" t="n">
        <f aca="false">SUM(B6:D6)</f>
        <v>134</v>
      </c>
    </row>
    <row r="7" customFormat="false" ht="15" hidden="false" customHeight="false" outlineLevel="0" collapsed="false">
      <c r="A7" s="29" t="s">
        <v>1293</v>
      </c>
      <c r="B7" s="30" t="n">
        <f aca="false">SUM(B4:B6)</f>
        <v>164</v>
      </c>
      <c r="C7" s="30" t="n">
        <f aca="false">SUM(C4:C6)</f>
        <v>132</v>
      </c>
      <c r="D7" s="30" t="n">
        <f aca="false">SUM(D4:D6)</f>
        <v>109</v>
      </c>
      <c r="E7" s="30" t="n">
        <f aca="false">SUM(E4:E6)</f>
        <v>405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31" t="s">
        <v>1296</v>
      </c>
      <c r="B1" s="31"/>
      <c r="C1" s="31"/>
    </row>
    <row r="2" customFormat="false" ht="15" hidden="false" customHeight="false" outlineLevel="0" collapsed="false">
      <c r="A2" s="32" t="s">
        <v>1297</v>
      </c>
      <c r="B2" s="32" t="s">
        <v>1298</v>
      </c>
      <c r="C2" s="32" t="s">
        <v>1299</v>
      </c>
    </row>
    <row r="3" customFormat="false" ht="15" hidden="false" customHeight="false" outlineLevel="0" collapsed="false">
      <c r="B3" s="33" t="s">
        <v>52</v>
      </c>
      <c r="C3" s="33" t="s">
        <v>53</v>
      </c>
    </row>
    <row r="4" customFormat="false" ht="15" hidden="false" customHeight="false" outlineLevel="0" collapsed="false">
      <c r="B4" s="33" t="s">
        <v>57</v>
      </c>
      <c r="C4" s="33" t="s">
        <v>58</v>
      </c>
    </row>
    <row r="5" customFormat="false" ht="15" hidden="false" customHeight="false" outlineLevel="0" collapsed="false">
      <c r="B5" s="33" t="s">
        <v>62</v>
      </c>
      <c r="C5" s="33" t="s">
        <v>63</v>
      </c>
    </row>
    <row r="6" customFormat="false" ht="15" hidden="false" customHeight="false" outlineLevel="0" collapsed="false">
      <c r="B6" s="33" t="s">
        <v>67</v>
      </c>
      <c r="C6" s="33" t="s">
        <v>58</v>
      </c>
    </row>
    <row r="7" customFormat="false" ht="15" hidden="false" customHeight="false" outlineLevel="0" collapsed="false">
      <c r="B7" s="33" t="s">
        <v>71</v>
      </c>
      <c r="C7" s="33" t="s">
        <v>72</v>
      </c>
    </row>
    <row r="8" customFormat="false" ht="15" hidden="false" customHeight="false" outlineLevel="0" collapsed="false">
      <c r="B8" s="33" t="s">
        <v>76</v>
      </c>
      <c r="C8" s="33" t="s">
        <v>77</v>
      </c>
    </row>
    <row r="9" customFormat="false" ht="15" hidden="false" customHeight="false" outlineLevel="0" collapsed="false">
      <c r="B9" s="33" t="s">
        <v>80</v>
      </c>
      <c r="C9" s="33" t="s">
        <v>81</v>
      </c>
    </row>
    <row r="10" customFormat="false" ht="15" hidden="false" customHeight="false" outlineLevel="0" collapsed="false">
      <c r="B10" s="33" t="s">
        <v>84</v>
      </c>
      <c r="C10" s="33" t="s">
        <v>58</v>
      </c>
    </row>
    <row r="11" customFormat="false" ht="15" hidden="false" customHeight="false" outlineLevel="0" collapsed="false">
      <c r="B11" s="33" t="s">
        <v>87</v>
      </c>
      <c r="C11" s="33" t="s">
        <v>88</v>
      </c>
    </row>
    <row r="12" customFormat="false" ht="15" hidden="false" customHeight="false" outlineLevel="0" collapsed="false">
      <c r="B12" s="33" t="s">
        <v>91</v>
      </c>
      <c r="C12" s="33" t="s">
        <v>92</v>
      </c>
    </row>
    <row r="13" customFormat="false" ht="15" hidden="false" customHeight="false" outlineLevel="0" collapsed="false">
      <c r="B13" s="33" t="s">
        <v>95</v>
      </c>
      <c r="C13" s="33" t="s">
        <v>96</v>
      </c>
    </row>
    <row r="14" customFormat="false" ht="15" hidden="false" customHeight="false" outlineLevel="0" collapsed="false">
      <c r="B14" s="33" t="s">
        <v>99</v>
      </c>
      <c r="C14" s="33" t="s">
        <v>100</v>
      </c>
    </row>
    <row r="15" customFormat="false" ht="15" hidden="false" customHeight="false" outlineLevel="0" collapsed="false">
      <c r="B15" s="33" t="s">
        <v>103</v>
      </c>
      <c r="C15" s="33" t="s">
        <v>104</v>
      </c>
    </row>
    <row r="16" customFormat="false" ht="15" hidden="false" customHeight="false" outlineLevel="0" collapsed="false">
      <c r="B16" s="33" t="s">
        <v>107</v>
      </c>
      <c r="C16" s="33" t="s">
        <v>108</v>
      </c>
    </row>
    <row r="17" customFormat="false" ht="15" hidden="false" customHeight="false" outlineLevel="0" collapsed="false">
      <c r="B17" s="33" t="s">
        <v>111</v>
      </c>
      <c r="C17" s="33" t="s">
        <v>112</v>
      </c>
    </row>
    <row r="18" customFormat="false" ht="15" hidden="false" customHeight="false" outlineLevel="0" collapsed="false">
      <c r="B18" s="33" t="s">
        <v>115</v>
      </c>
      <c r="C18" s="33" t="s">
        <v>116</v>
      </c>
    </row>
    <row r="19" customFormat="false" ht="15" hidden="false" customHeight="false" outlineLevel="0" collapsed="false">
      <c r="B19" s="33" t="s">
        <v>119</v>
      </c>
      <c r="C19" s="33" t="s">
        <v>58</v>
      </c>
    </row>
    <row r="20" customFormat="false" ht="15" hidden="false" customHeight="false" outlineLevel="0" collapsed="false">
      <c r="B20" s="33" t="s">
        <v>122</v>
      </c>
      <c r="C20" s="33" t="s">
        <v>123</v>
      </c>
    </row>
    <row r="21" customFormat="false" ht="15" hidden="false" customHeight="false" outlineLevel="0" collapsed="false">
      <c r="B21" s="33" t="s">
        <v>127</v>
      </c>
      <c r="C21" s="33" t="s">
        <v>128</v>
      </c>
    </row>
    <row r="22" customFormat="false" ht="15" hidden="false" customHeight="false" outlineLevel="0" collapsed="false">
      <c r="B22" s="33" t="s">
        <v>130</v>
      </c>
      <c r="C22" s="33" t="s">
        <v>63</v>
      </c>
    </row>
    <row r="23" customFormat="false" ht="15" hidden="false" customHeight="false" outlineLevel="0" collapsed="false">
      <c r="B23" s="33" t="s">
        <v>132</v>
      </c>
      <c r="C23" s="33" t="s">
        <v>133</v>
      </c>
    </row>
    <row r="24" customFormat="false" ht="15" hidden="false" customHeight="false" outlineLevel="0" collapsed="false">
      <c r="B24" s="33" t="s">
        <v>136</v>
      </c>
      <c r="C24" s="33" t="s">
        <v>137</v>
      </c>
    </row>
    <row r="25" customFormat="false" ht="15" hidden="false" customHeight="false" outlineLevel="0" collapsed="false">
      <c r="B25" s="33" t="s">
        <v>140</v>
      </c>
      <c r="C25" s="33" t="s">
        <v>137</v>
      </c>
    </row>
    <row r="26" customFormat="false" ht="15" hidden="false" customHeight="false" outlineLevel="0" collapsed="false">
      <c r="B26" s="33" t="s">
        <v>143</v>
      </c>
      <c r="C26" s="33" t="s">
        <v>72</v>
      </c>
    </row>
    <row r="27" customFormat="false" ht="15" hidden="false" customHeight="false" outlineLevel="0" collapsed="false">
      <c r="B27" s="33" t="s">
        <v>145</v>
      </c>
      <c r="C27" s="33" t="s">
        <v>112</v>
      </c>
    </row>
    <row r="28" customFormat="false" ht="15" hidden="false" customHeight="false" outlineLevel="0" collapsed="false">
      <c r="B28" s="33" t="s">
        <v>148</v>
      </c>
      <c r="C28" s="33" t="s">
        <v>149</v>
      </c>
    </row>
    <row r="29" customFormat="false" ht="15" hidden="false" customHeight="false" outlineLevel="0" collapsed="false">
      <c r="B29" s="33" t="s">
        <v>152</v>
      </c>
      <c r="C29" s="33" t="s">
        <v>153</v>
      </c>
    </row>
    <row r="30" customFormat="false" ht="15" hidden="false" customHeight="false" outlineLevel="0" collapsed="false">
      <c r="B30" s="33" t="s">
        <v>156</v>
      </c>
      <c r="C30" s="33" t="s">
        <v>157</v>
      </c>
    </row>
    <row r="31" customFormat="false" ht="15" hidden="false" customHeight="false" outlineLevel="0" collapsed="false">
      <c r="B31" s="33" t="s">
        <v>161</v>
      </c>
      <c r="C31" s="33" t="s">
        <v>162</v>
      </c>
    </row>
    <row r="32" customFormat="false" ht="15" hidden="false" customHeight="false" outlineLevel="0" collapsed="false">
      <c r="B32" s="33" t="s">
        <v>165</v>
      </c>
      <c r="C32" s="33" t="s">
        <v>81</v>
      </c>
    </row>
    <row r="33" customFormat="false" ht="15" hidden="false" customHeight="false" outlineLevel="0" collapsed="false">
      <c r="B33" s="33" t="s">
        <v>167</v>
      </c>
      <c r="C33" s="33" t="s">
        <v>149</v>
      </c>
    </row>
    <row r="34" customFormat="false" ht="15" hidden="false" customHeight="false" outlineLevel="0" collapsed="false">
      <c r="B34" s="33" t="s">
        <v>169</v>
      </c>
      <c r="C34" s="33" t="s">
        <v>123</v>
      </c>
    </row>
    <row r="35" customFormat="false" ht="15" hidden="false" customHeight="false" outlineLevel="0" collapsed="false">
      <c r="B35" s="33" t="s">
        <v>172</v>
      </c>
      <c r="C35" s="33" t="s">
        <v>149</v>
      </c>
    </row>
    <row r="36" customFormat="false" ht="15" hidden="false" customHeight="false" outlineLevel="0" collapsed="false">
      <c r="B36" s="33" t="s">
        <v>175</v>
      </c>
      <c r="C36" s="33" t="s">
        <v>123</v>
      </c>
    </row>
    <row r="37" customFormat="false" ht="15" hidden="false" customHeight="false" outlineLevel="0" collapsed="false">
      <c r="B37" s="33" t="s">
        <v>177</v>
      </c>
      <c r="C37" s="33" t="s">
        <v>178</v>
      </c>
    </row>
    <row r="38" customFormat="false" ht="15" hidden="false" customHeight="false" outlineLevel="0" collapsed="false">
      <c r="B38" s="33" t="s">
        <v>180</v>
      </c>
      <c r="C38" s="33" t="s">
        <v>72</v>
      </c>
    </row>
    <row r="39" customFormat="false" ht="15" hidden="false" customHeight="false" outlineLevel="0" collapsed="false">
      <c r="B39" s="33" t="s">
        <v>183</v>
      </c>
      <c r="C39" s="33" t="s">
        <v>116</v>
      </c>
    </row>
    <row r="40" customFormat="false" ht="15" hidden="false" customHeight="false" outlineLevel="0" collapsed="false">
      <c r="B40" s="33" t="s">
        <v>185</v>
      </c>
      <c r="C40" s="33" t="s">
        <v>72</v>
      </c>
    </row>
    <row r="41" customFormat="false" ht="15" hidden="false" customHeight="false" outlineLevel="0" collapsed="false">
      <c r="B41" s="33" t="s">
        <v>187</v>
      </c>
      <c r="C41" s="33" t="s">
        <v>153</v>
      </c>
    </row>
    <row r="42" customFormat="false" ht="15" hidden="false" customHeight="false" outlineLevel="0" collapsed="false">
      <c r="B42" s="33" t="s">
        <v>189</v>
      </c>
      <c r="C42" s="33" t="s">
        <v>116</v>
      </c>
    </row>
    <row r="43" customFormat="false" ht="15" hidden="false" customHeight="false" outlineLevel="0" collapsed="false">
      <c r="B43" s="33" t="s">
        <v>191</v>
      </c>
      <c r="C43" s="33" t="s">
        <v>192</v>
      </c>
    </row>
    <row r="44" customFormat="false" ht="15" hidden="false" customHeight="false" outlineLevel="0" collapsed="false">
      <c r="B44" s="33" t="s">
        <v>195</v>
      </c>
      <c r="C44" s="33" t="s">
        <v>196</v>
      </c>
    </row>
    <row r="45" customFormat="false" ht="15" hidden="false" customHeight="false" outlineLevel="0" collapsed="false">
      <c r="B45" s="33" t="s">
        <v>198</v>
      </c>
      <c r="C45" s="33" t="s">
        <v>199</v>
      </c>
    </row>
    <row r="46" customFormat="false" ht="15" hidden="false" customHeight="false" outlineLevel="0" collapsed="false">
      <c r="B46" s="33" t="s">
        <v>202</v>
      </c>
      <c r="C46" s="33" t="s">
        <v>203</v>
      </c>
    </row>
    <row r="47" customFormat="false" ht="15" hidden="false" customHeight="false" outlineLevel="0" collapsed="false">
      <c r="B47" s="33" t="s">
        <v>206</v>
      </c>
      <c r="C47" s="33" t="s">
        <v>207</v>
      </c>
    </row>
    <row r="48" customFormat="false" ht="15" hidden="false" customHeight="false" outlineLevel="0" collapsed="false">
      <c r="B48" s="33" t="s">
        <v>210</v>
      </c>
      <c r="C48" s="33" t="s">
        <v>211</v>
      </c>
    </row>
    <row r="49" customFormat="false" ht="15" hidden="false" customHeight="false" outlineLevel="0" collapsed="false">
      <c r="B49" s="33" t="s">
        <v>214</v>
      </c>
      <c r="C49" s="33" t="s">
        <v>215</v>
      </c>
    </row>
    <row r="50" customFormat="false" ht="15" hidden="false" customHeight="false" outlineLevel="0" collapsed="false">
      <c r="B50" s="33" t="s">
        <v>218</v>
      </c>
      <c r="C50" s="33" t="s">
        <v>219</v>
      </c>
    </row>
    <row r="51" customFormat="false" ht="15" hidden="false" customHeight="false" outlineLevel="0" collapsed="false">
      <c r="B51" s="33" t="s">
        <v>222</v>
      </c>
      <c r="C51" s="33" t="s">
        <v>162</v>
      </c>
    </row>
    <row r="52" customFormat="false" ht="15" hidden="false" customHeight="false" outlineLevel="0" collapsed="false">
      <c r="B52" s="33" t="s">
        <v>224</v>
      </c>
      <c r="C52" s="33" t="s">
        <v>225</v>
      </c>
    </row>
    <row r="53" customFormat="false" ht="15" hidden="false" customHeight="false" outlineLevel="0" collapsed="false">
      <c r="B53" s="33" t="s">
        <v>228</v>
      </c>
      <c r="C53" s="33" t="s">
        <v>229</v>
      </c>
    </row>
    <row r="54" customFormat="false" ht="15" hidden="false" customHeight="false" outlineLevel="0" collapsed="false">
      <c r="B54" s="33" t="s">
        <v>231</v>
      </c>
      <c r="C54" s="33" t="s">
        <v>232</v>
      </c>
    </row>
    <row r="55" customFormat="false" ht="15" hidden="false" customHeight="false" outlineLevel="0" collapsed="false">
      <c r="B55" s="33" t="s">
        <v>235</v>
      </c>
      <c r="C55" s="33" t="s">
        <v>108</v>
      </c>
    </row>
    <row r="56" customFormat="false" ht="15" hidden="false" customHeight="false" outlineLevel="0" collapsed="false">
      <c r="B56" s="33" t="s">
        <v>238</v>
      </c>
      <c r="C56" s="33" t="s">
        <v>149</v>
      </c>
    </row>
    <row r="57" customFormat="false" ht="15" hidden="false" customHeight="false" outlineLevel="0" collapsed="false">
      <c r="B57" s="33" t="s">
        <v>240</v>
      </c>
      <c r="C57" s="33" t="s">
        <v>241</v>
      </c>
    </row>
    <row r="58" customFormat="false" ht="15" hidden="false" customHeight="false" outlineLevel="0" collapsed="false">
      <c r="B58" s="33" t="s">
        <v>243</v>
      </c>
      <c r="C58" s="33" t="s">
        <v>244</v>
      </c>
    </row>
    <row r="59" customFormat="false" ht="15" hidden="false" customHeight="false" outlineLevel="0" collapsed="false">
      <c r="B59" s="33" t="s">
        <v>247</v>
      </c>
      <c r="C59" s="33" t="s">
        <v>248</v>
      </c>
    </row>
    <row r="60" customFormat="false" ht="15" hidden="false" customHeight="false" outlineLevel="0" collapsed="false">
      <c r="B60" s="33" t="s">
        <v>251</v>
      </c>
      <c r="C60" s="33" t="s">
        <v>252</v>
      </c>
    </row>
    <row r="61" customFormat="false" ht="15" hidden="false" customHeight="false" outlineLevel="0" collapsed="false">
      <c r="B61" s="33" t="s">
        <v>254</v>
      </c>
      <c r="C61" s="33" t="s">
        <v>255</v>
      </c>
    </row>
    <row r="62" customFormat="false" ht="15" hidden="false" customHeight="false" outlineLevel="0" collapsed="false">
      <c r="B62" s="33" t="s">
        <v>259</v>
      </c>
      <c r="C62" s="33" t="s">
        <v>260</v>
      </c>
    </row>
    <row r="63" customFormat="false" ht="15" hidden="false" customHeight="false" outlineLevel="0" collapsed="false">
      <c r="B63" s="33" t="s">
        <v>262</v>
      </c>
      <c r="C63" s="33" t="s">
        <v>263</v>
      </c>
    </row>
    <row r="64" customFormat="false" ht="15" hidden="false" customHeight="false" outlineLevel="0" collapsed="false">
      <c r="B64" s="33" t="s">
        <v>266</v>
      </c>
      <c r="C64" s="33" t="s">
        <v>267</v>
      </c>
    </row>
    <row r="65" customFormat="false" ht="15" hidden="false" customHeight="false" outlineLevel="0" collapsed="false">
      <c r="B65" s="33" t="s">
        <v>270</v>
      </c>
      <c r="C65" s="33" t="s">
        <v>271</v>
      </c>
    </row>
    <row r="66" customFormat="false" ht="15" hidden="false" customHeight="false" outlineLevel="0" collapsed="false">
      <c r="B66" s="33" t="s">
        <v>274</v>
      </c>
      <c r="C66" s="33" t="s">
        <v>275</v>
      </c>
    </row>
    <row r="67" customFormat="false" ht="15" hidden="false" customHeight="false" outlineLevel="0" collapsed="false">
      <c r="B67" s="33" t="s">
        <v>277</v>
      </c>
      <c r="C67" s="33" t="s">
        <v>278</v>
      </c>
    </row>
    <row r="68" customFormat="false" ht="15" hidden="false" customHeight="false" outlineLevel="0" collapsed="false">
      <c r="B68" s="33" t="s">
        <v>281</v>
      </c>
      <c r="C68" s="33" t="s">
        <v>282</v>
      </c>
    </row>
    <row r="69" customFormat="false" ht="15" hidden="false" customHeight="false" outlineLevel="0" collapsed="false">
      <c r="B69" s="33" t="s">
        <v>285</v>
      </c>
      <c r="C69" s="33" t="s">
        <v>286</v>
      </c>
    </row>
    <row r="70" customFormat="false" ht="15" hidden="false" customHeight="false" outlineLevel="0" collapsed="false">
      <c r="B70" s="33" t="s">
        <v>288</v>
      </c>
      <c r="C70" s="33" t="s">
        <v>289</v>
      </c>
    </row>
    <row r="71" customFormat="false" ht="15" hidden="false" customHeight="false" outlineLevel="0" collapsed="false">
      <c r="B71" s="33" t="s">
        <v>292</v>
      </c>
      <c r="C71" s="33" t="s">
        <v>293</v>
      </c>
    </row>
    <row r="72" customFormat="false" ht="15" hidden="false" customHeight="false" outlineLevel="0" collapsed="false">
      <c r="B72" s="33" t="s">
        <v>296</v>
      </c>
      <c r="C72" s="33" t="s">
        <v>297</v>
      </c>
    </row>
    <row r="73" customFormat="false" ht="15" hidden="false" customHeight="false" outlineLevel="0" collapsed="false">
      <c r="B73" s="33" t="s">
        <v>300</v>
      </c>
      <c r="C73" s="33" t="s">
        <v>301</v>
      </c>
    </row>
    <row r="74" customFormat="false" ht="15" hidden="false" customHeight="false" outlineLevel="0" collapsed="false">
      <c r="B74" s="33" t="s">
        <v>304</v>
      </c>
      <c r="C74" s="33" t="s">
        <v>305</v>
      </c>
    </row>
    <row r="75" customFormat="false" ht="15" hidden="false" customHeight="false" outlineLevel="0" collapsed="false">
      <c r="B75" s="33" t="s">
        <v>308</v>
      </c>
      <c r="C75" s="33" t="s">
        <v>309</v>
      </c>
    </row>
    <row r="76" customFormat="false" ht="15" hidden="false" customHeight="false" outlineLevel="0" collapsed="false">
      <c r="B76" s="33" t="s">
        <v>313</v>
      </c>
      <c r="C76" s="33" t="s">
        <v>314</v>
      </c>
    </row>
    <row r="77" customFormat="false" ht="15" hidden="false" customHeight="false" outlineLevel="0" collapsed="false">
      <c r="B77" s="33" t="s">
        <v>316</v>
      </c>
      <c r="C77" s="33" t="s">
        <v>317</v>
      </c>
    </row>
    <row r="78" customFormat="false" ht="15" hidden="false" customHeight="false" outlineLevel="0" collapsed="false">
      <c r="B78" s="33" t="s">
        <v>319</v>
      </c>
      <c r="C78" s="33" t="s">
        <v>320</v>
      </c>
    </row>
    <row r="79" customFormat="false" ht="15" hidden="false" customHeight="false" outlineLevel="0" collapsed="false">
      <c r="B79" s="33" t="s">
        <v>322</v>
      </c>
      <c r="C79" s="33" t="s">
        <v>323</v>
      </c>
    </row>
    <row r="80" customFormat="false" ht="15" hidden="false" customHeight="false" outlineLevel="0" collapsed="false">
      <c r="B80" s="33" t="s">
        <v>327</v>
      </c>
      <c r="C80" s="33" t="s">
        <v>328</v>
      </c>
    </row>
    <row r="81" customFormat="false" ht="15" hidden="false" customHeight="false" outlineLevel="0" collapsed="false">
      <c r="B81" s="33" t="s">
        <v>330</v>
      </c>
      <c r="C81" s="33" t="s">
        <v>263</v>
      </c>
    </row>
    <row r="82" customFormat="false" ht="15" hidden="false" customHeight="false" outlineLevel="0" collapsed="false">
      <c r="B82" s="33" t="s">
        <v>332</v>
      </c>
      <c r="C82" s="33" t="s">
        <v>252</v>
      </c>
    </row>
    <row r="83" customFormat="false" ht="15" hidden="false" customHeight="false" outlineLevel="0" collapsed="false">
      <c r="B83" s="33" t="s">
        <v>335</v>
      </c>
      <c r="C83" s="33" t="s">
        <v>336</v>
      </c>
    </row>
    <row r="84" customFormat="false" ht="15" hidden="false" customHeight="false" outlineLevel="0" collapsed="false">
      <c r="B84" s="33" t="s">
        <v>338</v>
      </c>
      <c r="C84" s="33" t="s">
        <v>339</v>
      </c>
    </row>
    <row r="85" customFormat="false" ht="15" hidden="false" customHeight="false" outlineLevel="0" collapsed="false">
      <c r="B85" s="33" t="s">
        <v>342</v>
      </c>
      <c r="C85" s="33" t="s">
        <v>343</v>
      </c>
    </row>
    <row r="86" customFormat="false" ht="15" hidden="false" customHeight="false" outlineLevel="0" collapsed="false">
      <c r="B86" s="33" t="s">
        <v>345</v>
      </c>
      <c r="C86" s="33" t="s">
        <v>346</v>
      </c>
    </row>
    <row r="87" customFormat="false" ht="15" hidden="false" customHeight="false" outlineLevel="0" collapsed="false">
      <c r="B87" s="33" t="s">
        <v>348</v>
      </c>
      <c r="C87" s="33" t="s">
        <v>349</v>
      </c>
    </row>
    <row r="88" customFormat="false" ht="15" hidden="false" customHeight="false" outlineLevel="0" collapsed="false">
      <c r="B88" s="33" t="s">
        <v>352</v>
      </c>
      <c r="C88" s="33" t="s">
        <v>353</v>
      </c>
    </row>
    <row r="89" customFormat="false" ht="15" hidden="false" customHeight="false" outlineLevel="0" collapsed="false">
      <c r="B89" s="33" t="s">
        <v>355</v>
      </c>
      <c r="C89" s="33" t="s">
        <v>356</v>
      </c>
    </row>
    <row r="90" customFormat="false" ht="15" hidden="false" customHeight="false" outlineLevel="0" collapsed="false">
      <c r="B90" s="33" t="s">
        <v>359</v>
      </c>
      <c r="C90" s="33" t="s">
        <v>293</v>
      </c>
    </row>
    <row r="91" customFormat="false" ht="15" hidden="false" customHeight="false" outlineLevel="0" collapsed="false">
      <c r="B91" s="33" t="s">
        <v>361</v>
      </c>
      <c r="C91" s="33" t="s">
        <v>362</v>
      </c>
    </row>
    <row r="92" customFormat="false" ht="15" hidden="false" customHeight="false" outlineLevel="0" collapsed="false">
      <c r="B92" s="33" t="s">
        <v>364</v>
      </c>
      <c r="C92" s="33" t="s">
        <v>365</v>
      </c>
    </row>
    <row r="93" customFormat="false" ht="15" hidden="false" customHeight="false" outlineLevel="0" collapsed="false">
      <c r="B93" s="33" t="s">
        <v>367</v>
      </c>
      <c r="C93" s="33" t="s">
        <v>368</v>
      </c>
    </row>
    <row r="94" customFormat="false" ht="15" hidden="false" customHeight="false" outlineLevel="0" collapsed="false">
      <c r="B94" s="33" t="s">
        <v>370</v>
      </c>
      <c r="C94" s="33" t="s">
        <v>371</v>
      </c>
    </row>
    <row r="95" customFormat="false" ht="15" hidden="false" customHeight="false" outlineLevel="0" collapsed="false">
      <c r="B95" s="33" t="s">
        <v>374</v>
      </c>
      <c r="C95" s="33" t="s">
        <v>252</v>
      </c>
    </row>
    <row r="96" customFormat="false" ht="15" hidden="false" customHeight="false" outlineLevel="0" collapsed="false">
      <c r="B96" s="33" t="s">
        <v>376</v>
      </c>
      <c r="C96" s="33" t="s">
        <v>377</v>
      </c>
    </row>
    <row r="97" customFormat="false" ht="15" hidden="false" customHeight="false" outlineLevel="0" collapsed="false">
      <c r="B97" s="33" t="s">
        <v>379</v>
      </c>
      <c r="C97" s="33" t="s">
        <v>380</v>
      </c>
    </row>
    <row r="98" customFormat="false" ht="15" hidden="false" customHeight="false" outlineLevel="0" collapsed="false">
      <c r="B98" s="33" t="s">
        <v>382</v>
      </c>
      <c r="C98" s="33" t="s">
        <v>383</v>
      </c>
    </row>
    <row r="99" customFormat="false" ht="15" hidden="false" customHeight="false" outlineLevel="0" collapsed="false">
      <c r="B99" s="33" t="s">
        <v>386</v>
      </c>
      <c r="C99" s="33" t="s">
        <v>387</v>
      </c>
    </row>
    <row r="100" customFormat="false" ht="15" hidden="false" customHeight="false" outlineLevel="0" collapsed="false">
      <c r="B100" s="33" t="s">
        <v>390</v>
      </c>
      <c r="C100" s="33" t="s">
        <v>391</v>
      </c>
    </row>
    <row r="101" customFormat="false" ht="15" hidden="false" customHeight="false" outlineLevel="0" collapsed="false">
      <c r="B101" s="33" t="s">
        <v>393</v>
      </c>
      <c r="C101" s="33" t="s">
        <v>394</v>
      </c>
    </row>
    <row r="102" customFormat="false" ht="15" hidden="false" customHeight="false" outlineLevel="0" collapsed="false">
      <c r="B102" s="33" t="s">
        <v>397</v>
      </c>
      <c r="C102" s="33" t="s">
        <v>398</v>
      </c>
    </row>
    <row r="103" customFormat="false" ht="15" hidden="false" customHeight="false" outlineLevel="0" collapsed="false">
      <c r="B103" s="33" t="s">
        <v>401</v>
      </c>
      <c r="C103" s="33" t="s">
        <v>402</v>
      </c>
    </row>
    <row r="104" customFormat="false" ht="15" hidden="false" customHeight="false" outlineLevel="0" collapsed="false">
      <c r="B104" s="33" t="s">
        <v>404</v>
      </c>
      <c r="C104" s="33" t="s">
        <v>405</v>
      </c>
    </row>
    <row r="105" customFormat="false" ht="15" hidden="false" customHeight="false" outlineLevel="0" collapsed="false">
      <c r="B105" s="33" t="s">
        <v>408</v>
      </c>
      <c r="C105" s="33" t="s">
        <v>409</v>
      </c>
    </row>
    <row r="106" customFormat="false" ht="15" hidden="false" customHeight="false" outlineLevel="0" collapsed="false">
      <c r="B106" s="33" t="s">
        <v>412</v>
      </c>
      <c r="C106" s="33" t="s">
        <v>413</v>
      </c>
    </row>
    <row r="107" customFormat="false" ht="15" hidden="false" customHeight="false" outlineLevel="0" collapsed="false">
      <c r="B107" s="33" t="s">
        <v>416</v>
      </c>
      <c r="C107" s="33" t="s">
        <v>417</v>
      </c>
    </row>
    <row r="108" customFormat="false" ht="15" hidden="false" customHeight="false" outlineLevel="0" collapsed="false">
      <c r="B108" s="33" t="s">
        <v>420</v>
      </c>
      <c r="C108" s="33" t="s">
        <v>421</v>
      </c>
    </row>
    <row r="109" customFormat="false" ht="15" hidden="false" customHeight="false" outlineLevel="0" collapsed="false">
      <c r="B109" s="33" t="s">
        <v>424</v>
      </c>
      <c r="C109" s="33" t="s">
        <v>425</v>
      </c>
    </row>
    <row r="110" customFormat="false" ht="15" hidden="false" customHeight="false" outlineLevel="0" collapsed="false">
      <c r="B110" s="33" t="s">
        <v>427</v>
      </c>
      <c r="C110" s="33" t="s">
        <v>425</v>
      </c>
    </row>
    <row r="111" customFormat="false" ht="15" hidden="false" customHeight="false" outlineLevel="0" collapsed="false">
      <c r="B111" s="33" t="s">
        <v>429</v>
      </c>
      <c r="C111" s="33" t="s">
        <v>398</v>
      </c>
    </row>
    <row r="112" customFormat="false" ht="15" hidden="false" customHeight="false" outlineLevel="0" collapsed="false">
      <c r="B112" s="33" t="s">
        <v>432</v>
      </c>
      <c r="C112" s="33" t="s">
        <v>413</v>
      </c>
    </row>
    <row r="113" customFormat="false" ht="15" hidden="false" customHeight="false" outlineLevel="0" collapsed="false">
      <c r="B113" s="33" t="s">
        <v>435</v>
      </c>
      <c r="C113" s="33" t="s">
        <v>413</v>
      </c>
    </row>
    <row r="114" customFormat="false" ht="15" hidden="false" customHeight="false" outlineLevel="0" collapsed="false">
      <c r="B114" s="33" t="s">
        <v>437</v>
      </c>
      <c r="C114" s="33" t="s">
        <v>438</v>
      </c>
    </row>
    <row r="115" customFormat="false" ht="15" hidden="false" customHeight="false" outlineLevel="0" collapsed="false">
      <c r="B115" s="33" t="s">
        <v>440</v>
      </c>
      <c r="C115" s="33" t="s">
        <v>441</v>
      </c>
    </row>
    <row r="116" customFormat="false" ht="15" hidden="false" customHeight="false" outlineLevel="0" collapsed="false">
      <c r="B116" s="33" t="s">
        <v>445</v>
      </c>
      <c r="C116" s="33" t="s">
        <v>421</v>
      </c>
    </row>
    <row r="117" customFormat="false" ht="15" hidden="false" customHeight="false" outlineLevel="0" collapsed="false">
      <c r="B117" s="33" t="s">
        <v>447</v>
      </c>
      <c r="C117" s="33" t="s">
        <v>448</v>
      </c>
    </row>
    <row r="118" customFormat="false" ht="15" hidden="false" customHeight="false" outlineLevel="0" collapsed="false">
      <c r="B118" s="33" t="s">
        <v>450</v>
      </c>
      <c r="C118" s="33" t="s">
        <v>451</v>
      </c>
    </row>
    <row r="119" customFormat="false" ht="15" hidden="false" customHeight="false" outlineLevel="0" collapsed="false">
      <c r="B119" s="33" t="s">
        <v>453</v>
      </c>
      <c r="C119" s="33" t="s">
        <v>454</v>
      </c>
    </row>
    <row r="120" customFormat="false" ht="15" hidden="false" customHeight="false" outlineLevel="0" collapsed="false">
      <c r="B120" s="33" t="s">
        <v>457</v>
      </c>
      <c r="C120" s="33" t="s">
        <v>458</v>
      </c>
    </row>
    <row r="121" customFormat="false" ht="15" hidden="false" customHeight="false" outlineLevel="0" collapsed="false">
      <c r="B121" s="33" t="s">
        <v>461</v>
      </c>
      <c r="C121" s="33" t="s">
        <v>462</v>
      </c>
    </row>
    <row r="122" customFormat="false" ht="15" hidden="false" customHeight="false" outlineLevel="0" collapsed="false">
      <c r="B122" s="33" t="s">
        <v>464</v>
      </c>
      <c r="C122" s="33" t="s">
        <v>104</v>
      </c>
    </row>
    <row r="123" customFormat="false" ht="15" hidden="false" customHeight="false" outlineLevel="0" collapsed="false">
      <c r="B123" s="33" t="s">
        <v>466</v>
      </c>
      <c r="C123" s="33" t="s">
        <v>467</v>
      </c>
    </row>
    <row r="124" customFormat="false" ht="15" hidden="false" customHeight="false" outlineLevel="0" collapsed="false">
      <c r="B124" s="33" t="s">
        <v>470</v>
      </c>
      <c r="C124" s="33" t="s">
        <v>471</v>
      </c>
    </row>
    <row r="125" customFormat="false" ht="15" hidden="false" customHeight="false" outlineLevel="0" collapsed="false">
      <c r="B125" s="33" t="s">
        <v>473</v>
      </c>
      <c r="C125" s="33" t="s">
        <v>474</v>
      </c>
    </row>
    <row r="126" customFormat="false" ht="15" hidden="false" customHeight="false" outlineLevel="0" collapsed="false">
      <c r="B126" s="33" t="s">
        <v>476</v>
      </c>
      <c r="C126" s="33" t="s">
        <v>477</v>
      </c>
    </row>
    <row r="127" customFormat="false" ht="15" hidden="false" customHeight="false" outlineLevel="0" collapsed="false">
      <c r="B127" s="33" t="s">
        <v>479</v>
      </c>
      <c r="C127" s="33" t="s">
        <v>480</v>
      </c>
    </row>
    <row r="128" customFormat="false" ht="15" hidden="false" customHeight="false" outlineLevel="0" collapsed="false">
      <c r="B128" s="33" t="s">
        <v>482</v>
      </c>
      <c r="C128" s="33" t="s">
        <v>483</v>
      </c>
    </row>
    <row r="129" customFormat="false" ht="15" hidden="false" customHeight="false" outlineLevel="0" collapsed="false">
      <c r="B129" s="33" t="s">
        <v>485</v>
      </c>
      <c r="C129" s="33" t="s">
        <v>486</v>
      </c>
    </row>
    <row r="130" customFormat="false" ht="15" hidden="false" customHeight="false" outlineLevel="0" collapsed="false">
      <c r="B130" s="33" t="s">
        <v>488</v>
      </c>
      <c r="C130" s="33" t="s">
        <v>467</v>
      </c>
    </row>
    <row r="131" customFormat="false" ht="15" hidden="false" customHeight="false" outlineLevel="0" collapsed="false">
      <c r="B131" s="33" t="s">
        <v>490</v>
      </c>
      <c r="C131" s="33" t="s">
        <v>491</v>
      </c>
    </row>
    <row r="132" customFormat="false" ht="15" hidden="false" customHeight="false" outlineLevel="0" collapsed="false">
      <c r="B132" s="33" t="s">
        <v>494</v>
      </c>
      <c r="C132" s="33" t="s">
        <v>339</v>
      </c>
    </row>
    <row r="133" customFormat="false" ht="15" hidden="false" customHeight="false" outlineLevel="0" collapsed="false">
      <c r="B133" s="33" t="s">
        <v>497</v>
      </c>
      <c r="C133" s="33" t="s">
        <v>498</v>
      </c>
    </row>
    <row r="134" customFormat="false" ht="15" hidden="false" customHeight="false" outlineLevel="0" collapsed="false">
      <c r="B134" s="33" t="s">
        <v>501</v>
      </c>
      <c r="C134" s="33" t="s">
        <v>498</v>
      </c>
    </row>
    <row r="135" customFormat="false" ht="15" hidden="false" customHeight="false" outlineLevel="0" collapsed="false">
      <c r="B135" s="33" t="s">
        <v>504</v>
      </c>
      <c r="C135" s="33" t="s">
        <v>505</v>
      </c>
    </row>
    <row r="136" customFormat="false" ht="15" hidden="false" customHeight="false" outlineLevel="0" collapsed="false">
      <c r="B136" s="33" t="s">
        <v>507</v>
      </c>
      <c r="C136" s="33" t="s">
        <v>508</v>
      </c>
    </row>
    <row r="137" customFormat="false" ht="15" hidden="false" customHeight="false" outlineLevel="0" collapsed="false">
      <c r="B137" s="33" t="s">
        <v>510</v>
      </c>
      <c r="C137" s="33" t="s">
        <v>275</v>
      </c>
    </row>
    <row r="138" customFormat="false" ht="15" hidden="false" customHeight="false" outlineLevel="0" collapsed="false">
      <c r="B138" s="33" t="s">
        <v>513</v>
      </c>
      <c r="C138" s="33" t="s">
        <v>448</v>
      </c>
    </row>
    <row r="139" customFormat="false" ht="15" hidden="false" customHeight="false" outlineLevel="0" collapsed="false">
      <c r="B139" s="33" t="s">
        <v>515</v>
      </c>
      <c r="C139" s="33" t="s">
        <v>516</v>
      </c>
    </row>
    <row r="140" customFormat="false" ht="15" hidden="false" customHeight="false" outlineLevel="0" collapsed="false">
      <c r="B140" s="33" t="s">
        <v>519</v>
      </c>
      <c r="C140" s="33" t="s">
        <v>520</v>
      </c>
    </row>
    <row r="141" customFormat="false" ht="15" hidden="false" customHeight="false" outlineLevel="0" collapsed="false">
      <c r="B141" s="33" t="s">
        <v>522</v>
      </c>
      <c r="C141" s="33" t="s">
        <v>523</v>
      </c>
    </row>
    <row r="142" customFormat="false" ht="15" hidden="false" customHeight="false" outlineLevel="0" collapsed="false">
      <c r="B142" s="33" t="s">
        <v>525</v>
      </c>
      <c r="C142" s="33" t="s">
        <v>526</v>
      </c>
    </row>
    <row r="143" customFormat="false" ht="15" hidden="false" customHeight="false" outlineLevel="0" collapsed="false">
      <c r="B143" s="33" t="s">
        <v>528</v>
      </c>
      <c r="C143" s="33" t="s">
        <v>529</v>
      </c>
    </row>
    <row r="144" customFormat="false" ht="15" hidden="false" customHeight="false" outlineLevel="0" collapsed="false">
      <c r="B144" s="33" t="s">
        <v>531</v>
      </c>
      <c r="C144" s="33" t="s">
        <v>532</v>
      </c>
    </row>
    <row r="145" customFormat="false" ht="15" hidden="false" customHeight="false" outlineLevel="0" collapsed="false">
      <c r="B145" s="33" t="s">
        <v>534</v>
      </c>
      <c r="C145" s="33" t="s">
        <v>535</v>
      </c>
    </row>
    <row r="146" customFormat="false" ht="15" hidden="false" customHeight="false" outlineLevel="0" collapsed="false">
      <c r="B146" s="33" t="s">
        <v>537</v>
      </c>
      <c r="C146" s="33" t="s">
        <v>538</v>
      </c>
    </row>
    <row r="147" customFormat="false" ht="15" hidden="false" customHeight="false" outlineLevel="0" collapsed="false">
      <c r="B147" s="33" t="s">
        <v>540</v>
      </c>
      <c r="C147" s="33" t="s">
        <v>541</v>
      </c>
    </row>
    <row r="148" customFormat="false" ht="15" hidden="false" customHeight="false" outlineLevel="0" collapsed="false">
      <c r="B148" s="33" t="s">
        <v>544</v>
      </c>
      <c r="C148" s="33" t="s">
        <v>545</v>
      </c>
    </row>
    <row r="149" customFormat="false" ht="15" hidden="false" customHeight="false" outlineLevel="0" collapsed="false">
      <c r="B149" s="33" t="s">
        <v>547</v>
      </c>
      <c r="C149" s="33" t="s">
        <v>548</v>
      </c>
    </row>
    <row r="150" customFormat="false" ht="15" hidden="false" customHeight="false" outlineLevel="0" collapsed="false">
      <c r="B150" s="33" t="s">
        <v>551</v>
      </c>
      <c r="C150" s="33" t="s">
        <v>157</v>
      </c>
    </row>
    <row r="151" customFormat="false" ht="15" hidden="false" customHeight="false" outlineLevel="0" collapsed="false">
      <c r="B151" s="33" t="s">
        <v>553</v>
      </c>
      <c r="C151" s="33" t="s">
        <v>554</v>
      </c>
    </row>
    <row r="152" customFormat="false" ht="15" hidden="false" customHeight="false" outlineLevel="0" collapsed="false">
      <c r="B152" s="33" t="s">
        <v>557</v>
      </c>
      <c r="C152" s="33" t="s">
        <v>558</v>
      </c>
    </row>
    <row r="153" customFormat="false" ht="15" hidden="false" customHeight="false" outlineLevel="0" collapsed="false">
      <c r="B153" s="33" t="s">
        <v>560</v>
      </c>
      <c r="C153" s="33" t="s">
        <v>96</v>
      </c>
    </row>
    <row r="154" customFormat="false" ht="15" hidden="false" customHeight="false" outlineLevel="0" collapsed="false">
      <c r="B154" s="33" t="s">
        <v>562</v>
      </c>
      <c r="C154" s="33" t="s">
        <v>563</v>
      </c>
    </row>
    <row r="155" customFormat="false" ht="15" hidden="false" customHeight="false" outlineLevel="0" collapsed="false">
      <c r="B155" s="33" t="s">
        <v>566</v>
      </c>
      <c r="C155" s="33" t="s">
        <v>538</v>
      </c>
    </row>
    <row r="156" customFormat="false" ht="15" hidden="false" customHeight="false" outlineLevel="0" collapsed="false">
      <c r="B156" s="33" t="s">
        <v>568</v>
      </c>
      <c r="C156" s="33" t="s">
        <v>53</v>
      </c>
    </row>
    <row r="157" customFormat="false" ht="15" hidden="false" customHeight="false" outlineLevel="0" collapsed="false">
      <c r="B157" s="33" t="s">
        <v>570</v>
      </c>
      <c r="C157" s="33" t="s">
        <v>571</v>
      </c>
    </row>
    <row r="158" customFormat="false" ht="15" hidden="false" customHeight="false" outlineLevel="0" collapsed="false">
      <c r="B158" s="33" t="s">
        <v>573</v>
      </c>
      <c r="C158" s="33" t="s">
        <v>574</v>
      </c>
    </row>
    <row r="159" customFormat="false" ht="15" hidden="false" customHeight="false" outlineLevel="0" collapsed="false">
      <c r="B159" s="33" t="s">
        <v>576</v>
      </c>
      <c r="C159" s="33" t="s">
        <v>523</v>
      </c>
    </row>
    <row r="160" customFormat="false" ht="15" hidden="false" customHeight="false" outlineLevel="0" collapsed="false">
      <c r="B160" s="33" t="s">
        <v>579</v>
      </c>
      <c r="C160" s="33" t="s">
        <v>215</v>
      </c>
    </row>
    <row r="161" customFormat="false" ht="15" hidden="false" customHeight="false" outlineLevel="0" collapsed="false">
      <c r="B161" s="33" t="s">
        <v>582</v>
      </c>
      <c r="C161" s="33" t="s">
        <v>583</v>
      </c>
    </row>
    <row r="162" customFormat="false" ht="15" hidden="false" customHeight="false" outlineLevel="0" collapsed="false">
      <c r="B162" s="33" t="s">
        <v>585</v>
      </c>
      <c r="C162" s="33" t="s">
        <v>586</v>
      </c>
    </row>
    <row r="163" customFormat="false" ht="15" hidden="false" customHeight="false" outlineLevel="0" collapsed="false">
      <c r="B163" s="33" t="s">
        <v>588</v>
      </c>
      <c r="C163" s="33" t="s">
        <v>589</v>
      </c>
    </row>
    <row r="164" customFormat="false" ht="15" hidden="false" customHeight="false" outlineLevel="0" collapsed="false">
      <c r="B164" s="33" t="s">
        <v>591</v>
      </c>
      <c r="C164" s="33" t="s">
        <v>592</v>
      </c>
    </row>
    <row r="165" customFormat="false" ht="15" hidden="false" customHeight="false" outlineLevel="0" collapsed="false">
      <c r="B165" s="33" t="s">
        <v>595</v>
      </c>
      <c r="C165" s="33" t="s">
        <v>196</v>
      </c>
    </row>
    <row r="166" customFormat="false" ht="15" hidden="false" customHeight="false" outlineLevel="0" collapsed="false">
      <c r="B166" s="33" t="s">
        <v>597</v>
      </c>
      <c r="C166" s="33" t="s">
        <v>586</v>
      </c>
    </row>
    <row r="167" customFormat="false" ht="15" hidden="false" customHeight="false" outlineLevel="0" collapsed="false">
      <c r="B167" s="33" t="s">
        <v>600</v>
      </c>
      <c r="C167" s="33" t="s">
        <v>232</v>
      </c>
    </row>
    <row r="168" customFormat="false" ht="15" hidden="false" customHeight="false" outlineLevel="0" collapsed="false">
      <c r="B168" s="33" t="s">
        <v>602</v>
      </c>
      <c r="C168" s="33" t="s">
        <v>532</v>
      </c>
    </row>
    <row r="169" customFormat="false" ht="15" hidden="false" customHeight="false" outlineLevel="0" collapsed="false">
      <c r="B169" s="33" t="s">
        <v>604</v>
      </c>
      <c r="C169" s="33" t="s">
        <v>605</v>
      </c>
    </row>
    <row r="170" customFormat="false" ht="15" hidden="false" customHeight="false" outlineLevel="0" collapsed="false">
      <c r="B170" s="33" t="s">
        <v>607</v>
      </c>
      <c r="C170" s="33" t="s">
        <v>192</v>
      </c>
    </row>
    <row r="171" customFormat="false" ht="15" hidden="false" customHeight="false" outlineLevel="0" collapsed="false">
      <c r="B171" s="33" t="s">
        <v>609</v>
      </c>
      <c r="C171" s="33" t="s">
        <v>605</v>
      </c>
    </row>
    <row r="172" customFormat="false" ht="15" hidden="false" customHeight="false" outlineLevel="0" collapsed="false">
      <c r="B172" s="33" t="s">
        <v>611</v>
      </c>
      <c r="C172" s="33" t="s">
        <v>53</v>
      </c>
    </row>
    <row r="173" customFormat="false" ht="15" hidden="false" customHeight="false" outlineLevel="0" collapsed="false">
      <c r="B173" s="33" t="s">
        <v>613</v>
      </c>
      <c r="C173" s="33" t="s">
        <v>516</v>
      </c>
    </row>
    <row r="174" customFormat="false" ht="15" hidden="false" customHeight="false" outlineLevel="0" collapsed="false">
      <c r="B174" s="33" t="s">
        <v>615</v>
      </c>
      <c r="C174" s="33" t="s">
        <v>616</v>
      </c>
    </row>
    <row r="175" customFormat="false" ht="15" hidden="false" customHeight="false" outlineLevel="0" collapsed="false">
      <c r="B175" s="33" t="s">
        <v>618</v>
      </c>
      <c r="C175" s="33" t="s">
        <v>96</v>
      </c>
    </row>
    <row r="176" customFormat="false" ht="15" hidden="false" customHeight="false" outlineLevel="0" collapsed="false">
      <c r="B176" s="33" t="s">
        <v>621</v>
      </c>
      <c r="C176" s="33" t="s">
        <v>622</v>
      </c>
    </row>
    <row r="177" customFormat="false" ht="15" hidden="false" customHeight="false" outlineLevel="0" collapsed="false">
      <c r="B177" s="33" t="s">
        <v>624</v>
      </c>
      <c r="C177" s="33" t="s">
        <v>625</v>
      </c>
    </row>
    <row r="178" customFormat="false" ht="15" hidden="false" customHeight="false" outlineLevel="0" collapsed="false">
      <c r="B178" s="33" t="s">
        <v>627</v>
      </c>
      <c r="C178" s="33" t="s">
        <v>628</v>
      </c>
    </row>
    <row r="179" customFormat="false" ht="15" hidden="false" customHeight="false" outlineLevel="0" collapsed="false">
      <c r="B179" s="33" t="s">
        <v>630</v>
      </c>
      <c r="C179" s="33" t="s">
        <v>219</v>
      </c>
    </row>
    <row r="180" customFormat="false" ht="15" hidden="false" customHeight="false" outlineLevel="0" collapsed="false">
      <c r="B180" s="33" t="s">
        <v>632</v>
      </c>
      <c r="C180" s="33" t="s">
        <v>633</v>
      </c>
    </row>
    <row r="181" customFormat="false" ht="15" hidden="false" customHeight="false" outlineLevel="0" collapsed="false">
      <c r="B181" s="33" t="s">
        <v>637</v>
      </c>
      <c r="C181" s="33" t="s">
        <v>77</v>
      </c>
    </row>
    <row r="182" customFormat="false" ht="15" hidden="false" customHeight="false" outlineLevel="0" collapsed="false">
      <c r="B182" s="33" t="s">
        <v>639</v>
      </c>
      <c r="C182" s="33" t="s">
        <v>640</v>
      </c>
    </row>
    <row r="183" customFormat="false" ht="15" hidden="false" customHeight="false" outlineLevel="0" collapsed="false">
      <c r="B183" s="33" t="s">
        <v>642</v>
      </c>
      <c r="C183" s="33" t="s">
        <v>541</v>
      </c>
    </row>
    <row r="184" customFormat="false" ht="15" hidden="false" customHeight="false" outlineLevel="0" collapsed="false">
      <c r="B184" s="33" t="s">
        <v>644</v>
      </c>
      <c r="C184" s="33" t="s">
        <v>645</v>
      </c>
    </row>
    <row r="185" customFormat="false" ht="15" hidden="false" customHeight="false" outlineLevel="0" collapsed="false">
      <c r="B185" s="33" t="s">
        <v>647</v>
      </c>
      <c r="C185" s="33" t="s">
        <v>622</v>
      </c>
    </row>
    <row r="186" customFormat="false" ht="15" hidden="false" customHeight="false" outlineLevel="0" collapsed="false">
      <c r="B186" s="33" t="s">
        <v>649</v>
      </c>
      <c r="C186" s="33" t="s">
        <v>526</v>
      </c>
    </row>
    <row r="187" customFormat="false" ht="15" hidden="false" customHeight="false" outlineLevel="0" collapsed="false">
      <c r="B187" s="33" t="s">
        <v>651</v>
      </c>
      <c r="C187" s="33" t="s">
        <v>652</v>
      </c>
    </row>
    <row r="188" customFormat="false" ht="15" hidden="false" customHeight="false" outlineLevel="0" collapsed="false">
      <c r="B188" s="33" t="s">
        <v>654</v>
      </c>
      <c r="C188" s="33" t="s">
        <v>655</v>
      </c>
    </row>
    <row r="189" customFormat="false" ht="15" hidden="false" customHeight="false" outlineLevel="0" collapsed="false">
      <c r="B189" s="33" t="s">
        <v>658</v>
      </c>
      <c r="C189" s="33" t="s">
        <v>659</v>
      </c>
    </row>
    <row r="190" customFormat="false" ht="15" hidden="false" customHeight="false" outlineLevel="0" collapsed="false">
      <c r="B190" s="33" t="s">
        <v>661</v>
      </c>
      <c r="C190" s="33" t="s">
        <v>662</v>
      </c>
    </row>
    <row r="191" customFormat="false" ht="15" hidden="false" customHeight="false" outlineLevel="0" collapsed="false">
      <c r="B191" s="33" t="s">
        <v>664</v>
      </c>
      <c r="C191" s="33" t="s">
        <v>665</v>
      </c>
    </row>
    <row r="192" customFormat="false" ht="15" hidden="false" customHeight="false" outlineLevel="0" collapsed="false">
      <c r="B192" s="33" t="s">
        <v>667</v>
      </c>
      <c r="C192" s="33" t="s">
        <v>628</v>
      </c>
    </row>
    <row r="193" customFormat="false" ht="15" hidden="false" customHeight="false" outlineLevel="0" collapsed="false">
      <c r="B193" s="33" t="s">
        <v>669</v>
      </c>
      <c r="C193" s="33" t="s">
        <v>541</v>
      </c>
    </row>
    <row r="194" customFormat="false" ht="15" hidden="false" customHeight="false" outlineLevel="0" collapsed="false">
      <c r="B194" s="33" t="s">
        <v>671</v>
      </c>
      <c r="C194" s="33" t="s">
        <v>672</v>
      </c>
    </row>
    <row r="195" customFormat="false" ht="15" hidden="false" customHeight="false" outlineLevel="0" collapsed="false">
      <c r="B195" s="33" t="s">
        <v>674</v>
      </c>
      <c r="C195" s="33" t="s">
        <v>675</v>
      </c>
    </row>
    <row r="196" customFormat="false" ht="15" hidden="false" customHeight="false" outlineLevel="0" collapsed="false">
      <c r="B196" s="33" t="s">
        <v>678</v>
      </c>
      <c r="C196" s="33" t="s">
        <v>679</v>
      </c>
    </row>
    <row r="197" customFormat="false" ht="15" hidden="false" customHeight="false" outlineLevel="0" collapsed="false">
      <c r="B197" s="33" t="s">
        <v>682</v>
      </c>
      <c r="C197" s="33" t="s">
        <v>683</v>
      </c>
    </row>
    <row r="198" customFormat="false" ht="15" hidden="false" customHeight="false" outlineLevel="0" collapsed="false">
      <c r="B198" s="33" t="s">
        <v>685</v>
      </c>
      <c r="C198" s="33" t="s">
        <v>686</v>
      </c>
    </row>
    <row r="199" customFormat="false" ht="15" hidden="false" customHeight="false" outlineLevel="0" collapsed="false">
      <c r="B199" s="33" t="s">
        <v>689</v>
      </c>
      <c r="C199" s="33" t="s">
        <v>690</v>
      </c>
    </row>
    <row r="200" customFormat="false" ht="15" hidden="false" customHeight="false" outlineLevel="0" collapsed="false">
      <c r="B200" s="33" t="s">
        <v>692</v>
      </c>
      <c r="C200" s="33" t="s">
        <v>693</v>
      </c>
    </row>
    <row r="201" customFormat="false" ht="15" hidden="false" customHeight="false" outlineLevel="0" collapsed="false">
      <c r="B201" s="33" t="s">
        <v>695</v>
      </c>
      <c r="C201" s="33" t="s">
        <v>696</v>
      </c>
    </row>
    <row r="202" customFormat="false" ht="15" hidden="false" customHeight="false" outlineLevel="0" collapsed="false">
      <c r="B202" s="33" t="s">
        <v>698</v>
      </c>
      <c r="C202" s="33" t="s">
        <v>699</v>
      </c>
    </row>
    <row r="203" customFormat="false" ht="15" hidden="false" customHeight="false" outlineLevel="0" collapsed="false">
      <c r="B203" s="33" t="s">
        <v>701</v>
      </c>
      <c r="C203" s="33" t="s">
        <v>702</v>
      </c>
    </row>
    <row r="204" customFormat="false" ht="15" hidden="false" customHeight="false" outlineLevel="0" collapsed="false">
      <c r="B204" s="33" t="s">
        <v>704</v>
      </c>
      <c r="C204" s="33" t="s">
        <v>705</v>
      </c>
    </row>
    <row r="205" customFormat="false" ht="15" hidden="false" customHeight="false" outlineLevel="0" collapsed="false">
      <c r="B205" s="33" t="s">
        <v>708</v>
      </c>
      <c r="C205" s="33" t="s">
        <v>709</v>
      </c>
    </row>
    <row r="206" customFormat="false" ht="15" hidden="false" customHeight="false" outlineLevel="0" collapsed="false">
      <c r="B206" s="33" t="s">
        <v>711</v>
      </c>
      <c r="C206" s="33" t="s">
        <v>712</v>
      </c>
    </row>
    <row r="207" customFormat="false" ht="15" hidden="false" customHeight="false" outlineLevel="0" collapsed="false">
      <c r="B207" s="33" t="s">
        <v>714</v>
      </c>
      <c r="C207" s="33" t="s">
        <v>715</v>
      </c>
    </row>
    <row r="208" customFormat="false" ht="15" hidden="false" customHeight="false" outlineLevel="0" collapsed="false">
      <c r="B208" s="33" t="s">
        <v>717</v>
      </c>
      <c r="C208" s="33" t="s">
        <v>718</v>
      </c>
    </row>
    <row r="209" customFormat="false" ht="15" hidden="false" customHeight="false" outlineLevel="0" collapsed="false">
      <c r="B209" s="33" t="s">
        <v>721</v>
      </c>
      <c r="C209" s="33" t="s">
        <v>722</v>
      </c>
    </row>
    <row r="210" customFormat="false" ht="15" hidden="false" customHeight="false" outlineLevel="0" collapsed="false">
      <c r="B210" s="33" t="s">
        <v>725</v>
      </c>
      <c r="C210" s="33" t="s">
        <v>726</v>
      </c>
    </row>
    <row r="211" customFormat="false" ht="15" hidden="false" customHeight="false" outlineLevel="0" collapsed="false">
      <c r="B211" s="33" t="s">
        <v>728</v>
      </c>
      <c r="C211" s="33" t="s">
        <v>729</v>
      </c>
    </row>
    <row r="212" customFormat="false" ht="15" hidden="false" customHeight="false" outlineLevel="0" collapsed="false">
      <c r="B212" s="33" t="s">
        <v>731</v>
      </c>
      <c r="C212" s="33" t="s">
        <v>732</v>
      </c>
    </row>
    <row r="213" customFormat="false" ht="15" hidden="false" customHeight="false" outlineLevel="0" collapsed="false">
      <c r="B213" s="33" t="s">
        <v>734</v>
      </c>
      <c r="C213" s="33" t="s">
        <v>735</v>
      </c>
    </row>
    <row r="214" customFormat="false" ht="15" hidden="false" customHeight="false" outlineLevel="0" collapsed="false">
      <c r="B214" s="33" t="s">
        <v>737</v>
      </c>
      <c r="C214" s="33" t="s">
        <v>263</v>
      </c>
    </row>
    <row r="215" customFormat="false" ht="15" hidden="false" customHeight="false" outlineLevel="0" collapsed="false">
      <c r="B215" s="33" t="s">
        <v>739</v>
      </c>
      <c r="C215" s="33" t="s">
        <v>740</v>
      </c>
    </row>
    <row r="216" customFormat="false" ht="15" hidden="false" customHeight="false" outlineLevel="0" collapsed="false">
      <c r="B216" s="33" t="s">
        <v>742</v>
      </c>
      <c r="C216" s="33" t="s">
        <v>683</v>
      </c>
    </row>
    <row r="217" customFormat="false" ht="15" hidden="false" customHeight="false" outlineLevel="0" collapsed="false">
      <c r="B217" s="33" t="s">
        <v>744</v>
      </c>
      <c r="C217" s="33" t="s">
        <v>683</v>
      </c>
    </row>
    <row r="218" customFormat="false" ht="15" hidden="false" customHeight="false" outlineLevel="0" collapsed="false">
      <c r="B218" s="33" t="s">
        <v>746</v>
      </c>
      <c r="C218" s="33" t="s">
        <v>747</v>
      </c>
    </row>
    <row r="219" customFormat="false" ht="15" hidden="false" customHeight="false" outlineLevel="0" collapsed="false">
      <c r="B219" s="33" t="s">
        <v>749</v>
      </c>
      <c r="C219" s="33" t="s">
        <v>750</v>
      </c>
    </row>
    <row r="220" customFormat="false" ht="15" hidden="false" customHeight="false" outlineLevel="0" collapsed="false">
      <c r="B220" s="33" t="s">
        <v>752</v>
      </c>
      <c r="C220" s="33" t="s">
        <v>753</v>
      </c>
    </row>
    <row r="221" customFormat="false" ht="15" hidden="false" customHeight="false" outlineLevel="0" collapsed="false">
      <c r="B221" s="33" t="s">
        <v>755</v>
      </c>
      <c r="C221" s="33" t="s">
        <v>756</v>
      </c>
    </row>
    <row r="222" customFormat="false" ht="15" hidden="false" customHeight="false" outlineLevel="0" collapsed="false">
      <c r="B222" s="33" t="s">
        <v>758</v>
      </c>
      <c r="C222" s="33" t="s">
        <v>759</v>
      </c>
    </row>
    <row r="223" customFormat="false" ht="15" hidden="false" customHeight="false" outlineLevel="0" collapsed="false">
      <c r="B223" s="33" t="s">
        <v>760</v>
      </c>
      <c r="C223" s="33" t="s">
        <v>263</v>
      </c>
    </row>
    <row r="224" customFormat="false" ht="15" hidden="false" customHeight="false" outlineLevel="0" collapsed="false">
      <c r="B224" s="33" t="s">
        <v>763</v>
      </c>
      <c r="C224" s="33" t="s">
        <v>764</v>
      </c>
    </row>
    <row r="225" customFormat="false" ht="15" hidden="false" customHeight="false" outlineLevel="0" collapsed="false">
      <c r="B225" s="33" t="s">
        <v>766</v>
      </c>
      <c r="C225" s="33" t="s">
        <v>767</v>
      </c>
    </row>
    <row r="226" customFormat="false" ht="15" hidden="false" customHeight="false" outlineLevel="0" collapsed="false">
      <c r="B226" s="33" t="s">
        <v>770</v>
      </c>
      <c r="C226" s="33" t="s">
        <v>771</v>
      </c>
    </row>
    <row r="227" customFormat="false" ht="15" hidden="false" customHeight="false" outlineLevel="0" collapsed="false">
      <c r="B227" s="33" t="s">
        <v>773</v>
      </c>
      <c r="C227" s="33" t="s">
        <v>774</v>
      </c>
    </row>
    <row r="228" customFormat="false" ht="15" hidden="false" customHeight="false" outlineLevel="0" collapsed="false">
      <c r="B228" s="33" t="s">
        <v>776</v>
      </c>
      <c r="C228" s="33" t="s">
        <v>293</v>
      </c>
    </row>
    <row r="229" customFormat="false" ht="15" hidden="false" customHeight="false" outlineLevel="0" collapsed="false">
      <c r="B229" s="33" t="s">
        <v>778</v>
      </c>
      <c r="C229" s="33" t="s">
        <v>779</v>
      </c>
    </row>
    <row r="230" customFormat="false" ht="15" hidden="false" customHeight="false" outlineLevel="0" collapsed="false">
      <c r="B230" s="33" t="s">
        <v>782</v>
      </c>
      <c r="C230" s="33" t="s">
        <v>683</v>
      </c>
    </row>
    <row r="231" customFormat="false" ht="15" hidden="false" customHeight="false" outlineLevel="0" collapsed="false">
      <c r="B231" s="33" t="s">
        <v>785</v>
      </c>
      <c r="C231" s="33" t="s">
        <v>786</v>
      </c>
    </row>
    <row r="232" customFormat="false" ht="15" hidden="false" customHeight="false" outlineLevel="0" collapsed="false">
      <c r="B232" s="33" t="s">
        <v>788</v>
      </c>
      <c r="C232" s="33" t="s">
        <v>789</v>
      </c>
    </row>
    <row r="233" customFormat="false" ht="15" hidden="false" customHeight="false" outlineLevel="0" collapsed="false">
      <c r="B233" s="33" t="s">
        <v>791</v>
      </c>
      <c r="C233" s="33" t="s">
        <v>792</v>
      </c>
    </row>
    <row r="234" customFormat="false" ht="15" hidden="false" customHeight="false" outlineLevel="0" collapsed="false">
      <c r="B234" s="33" t="s">
        <v>794</v>
      </c>
      <c r="C234" s="33" t="s">
        <v>795</v>
      </c>
    </row>
    <row r="235" customFormat="false" ht="15" hidden="false" customHeight="false" outlineLevel="0" collapsed="false">
      <c r="B235" s="33" t="s">
        <v>797</v>
      </c>
      <c r="C235" s="33" t="s">
        <v>798</v>
      </c>
    </row>
    <row r="236" customFormat="false" ht="15" hidden="false" customHeight="false" outlineLevel="0" collapsed="false">
      <c r="B236" s="33" t="s">
        <v>801</v>
      </c>
      <c r="C236" s="33" t="s">
        <v>802</v>
      </c>
    </row>
    <row r="237" customFormat="false" ht="15" hidden="false" customHeight="false" outlineLevel="0" collapsed="false">
      <c r="B237" s="33" t="s">
        <v>804</v>
      </c>
      <c r="C237" s="33" t="s">
        <v>683</v>
      </c>
    </row>
    <row r="238" customFormat="false" ht="15" hidden="false" customHeight="false" outlineLevel="0" collapsed="false">
      <c r="B238" s="33" t="s">
        <v>806</v>
      </c>
      <c r="C238" s="33" t="s">
        <v>807</v>
      </c>
    </row>
    <row r="239" customFormat="false" ht="15" hidden="false" customHeight="false" outlineLevel="0" collapsed="false">
      <c r="B239" s="33" t="s">
        <v>810</v>
      </c>
      <c r="C239" s="33" t="s">
        <v>365</v>
      </c>
    </row>
    <row r="240" customFormat="false" ht="15" hidden="false" customHeight="false" outlineLevel="0" collapsed="false">
      <c r="B240" s="33" t="s">
        <v>813</v>
      </c>
      <c r="C240" s="33" t="s">
        <v>814</v>
      </c>
    </row>
    <row r="241" customFormat="false" ht="15" hidden="false" customHeight="false" outlineLevel="0" collapsed="false">
      <c r="B241" s="33" t="s">
        <v>816</v>
      </c>
      <c r="C241" s="33" t="s">
        <v>817</v>
      </c>
    </row>
    <row r="242" customFormat="false" ht="15" hidden="false" customHeight="false" outlineLevel="0" collapsed="false">
      <c r="B242" s="33" t="s">
        <v>820</v>
      </c>
      <c r="C242" s="33" t="s">
        <v>821</v>
      </c>
    </row>
    <row r="243" customFormat="false" ht="15" hidden="false" customHeight="false" outlineLevel="0" collapsed="false">
      <c r="B243" s="33" t="s">
        <v>823</v>
      </c>
      <c r="C243" s="33" t="s">
        <v>824</v>
      </c>
    </row>
    <row r="244" customFormat="false" ht="15" hidden="false" customHeight="false" outlineLevel="0" collapsed="false">
      <c r="B244" s="33" t="s">
        <v>826</v>
      </c>
      <c r="C244" s="33" t="s">
        <v>523</v>
      </c>
    </row>
    <row r="245" customFormat="false" ht="15" hidden="false" customHeight="false" outlineLevel="0" collapsed="false">
      <c r="B245" s="33" t="s">
        <v>829</v>
      </c>
      <c r="C245" s="33" t="s">
        <v>830</v>
      </c>
    </row>
    <row r="246" customFormat="false" ht="15" hidden="false" customHeight="false" outlineLevel="0" collapsed="false">
      <c r="B246" s="33" t="s">
        <v>833</v>
      </c>
      <c r="C246" s="33" t="s">
        <v>365</v>
      </c>
    </row>
    <row r="247" customFormat="false" ht="15" hidden="false" customHeight="false" outlineLevel="0" collapsed="false">
      <c r="B247" s="33" t="s">
        <v>835</v>
      </c>
      <c r="C247" s="33" t="s">
        <v>836</v>
      </c>
    </row>
    <row r="248" customFormat="false" ht="15" hidden="false" customHeight="false" outlineLevel="0" collapsed="false">
      <c r="B248" s="33" t="s">
        <v>838</v>
      </c>
      <c r="C248" s="33" t="s">
        <v>365</v>
      </c>
    </row>
    <row r="249" customFormat="false" ht="15" hidden="false" customHeight="false" outlineLevel="0" collapsed="false">
      <c r="B249" s="33" t="s">
        <v>841</v>
      </c>
      <c r="C249" s="33" t="s">
        <v>842</v>
      </c>
    </row>
    <row r="250" customFormat="false" ht="15" hidden="false" customHeight="false" outlineLevel="0" collapsed="false">
      <c r="B250" s="33" t="s">
        <v>845</v>
      </c>
      <c r="C250" s="33" t="s">
        <v>807</v>
      </c>
    </row>
    <row r="251" customFormat="false" ht="15" hidden="false" customHeight="false" outlineLevel="0" collapsed="false">
      <c r="B251" s="33" t="s">
        <v>848</v>
      </c>
      <c r="C251" s="33" t="s">
        <v>849</v>
      </c>
    </row>
    <row r="252" customFormat="false" ht="15" hidden="false" customHeight="false" outlineLevel="0" collapsed="false">
      <c r="B252" s="33" t="s">
        <v>851</v>
      </c>
      <c r="C252" s="33" t="s">
        <v>852</v>
      </c>
    </row>
    <row r="253" customFormat="false" ht="15" hidden="false" customHeight="false" outlineLevel="0" collapsed="false">
      <c r="B253" s="33" t="s">
        <v>854</v>
      </c>
      <c r="C253" s="33" t="s">
        <v>586</v>
      </c>
    </row>
    <row r="254" customFormat="false" ht="15" hidden="false" customHeight="false" outlineLevel="0" collapsed="false">
      <c r="B254" s="33" t="s">
        <v>856</v>
      </c>
      <c r="C254" s="33" t="s">
        <v>857</v>
      </c>
    </row>
    <row r="255" customFormat="false" ht="15" hidden="false" customHeight="false" outlineLevel="0" collapsed="false">
      <c r="B255" s="33" t="s">
        <v>860</v>
      </c>
      <c r="C255" s="33" t="s">
        <v>842</v>
      </c>
    </row>
    <row r="256" customFormat="false" ht="15" hidden="false" customHeight="false" outlineLevel="0" collapsed="false">
      <c r="B256" s="33" t="s">
        <v>862</v>
      </c>
      <c r="C256" s="33" t="s">
        <v>863</v>
      </c>
    </row>
    <row r="257" customFormat="false" ht="15" hidden="false" customHeight="false" outlineLevel="0" collapsed="false">
      <c r="B257" s="33" t="s">
        <v>865</v>
      </c>
      <c r="C257" s="33" t="s">
        <v>365</v>
      </c>
    </row>
    <row r="258" customFormat="false" ht="15" hidden="false" customHeight="false" outlineLevel="0" collapsed="false">
      <c r="B258" s="33" t="s">
        <v>867</v>
      </c>
      <c r="C258" s="33" t="s">
        <v>365</v>
      </c>
    </row>
    <row r="259" customFormat="false" ht="15" hidden="false" customHeight="false" outlineLevel="0" collapsed="false">
      <c r="B259" s="33" t="s">
        <v>869</v>
      </c>
      <c r="C259" s="33" t="s">
        <v>870</v>
      </c>
    </row>
    <row r="260" customFormat="false" ht="15" hidden="false" customHeight="false" outlineLevel="0" collapsed="false">
      <c r="B260" s="33" t="s">
        <v>873</v>
      </c>
      <c r="C260" s="33" t="s">
        <v>874</v>
      </c>
    </row>
    <row r="261" customFormat="false" ht="15" hidden="false" customHeight="false" outlineLevel="0" collapsed="false">
      <c r="B261" s="33" t="s">
        <v>877</v>
      </c>
      <c r="C261" s="33" t="s">
        <v>878</v>
      </c>
    </row>
    <row r="262" customFormat="false" ht="15" hidden="false" customHeight="false" outlineLevel="0" collapsed="false">
      <c r="B262" s="33" t="s">
        <v>880</v>
      </c>
      <c r="C262" s="33" t="s">
        <v>849</v>
      </c>
    </row>
    <row r="263" customFormat="false" ht="15" hidden="false" customHeight="false" outlineLevel="0" collapsed="false">
      <c r="B263" s="33" t="s">
        <v>882</v>
      </c>
      <c r="C263" s="33" t="s">
        <v>883</v>
      </c>
    </row>
    <row r="264" customFormat="false" ht="15" hidden="false" customHeight="false" outlineLevel="0" collapsed="false">
      <c r="B264" s="33" t="s">
        <v>885</v>
      </c>
      <c r="C264" s="33" t="s">
        <v>886</v>
      </c>
    </row>
    <row r="265" customFormat="false" ht="15" hidden="false" customHeight="false" outlineLevel="0" collapsed="false">
      <c r="B265" s="33" t="s">
        <v>888</v>
      </c>
      <c r="C265" s="33" t="s">
        <v>857</v>
      </c>
    </row>
    <row r="266" customFormat="false" ht="15" hidden="false" customHeight="false" outlineLevel="0" collapsed="false">
      <c r="B266" s="33" t="s">
        <v>891</v>
      </c>
      <c r="C266" s="33" t="s">
        <v>892</v>
      </c>
    </row>
    <row r="267" customFormat="false" ht="15" hidden="false" customHeight="false" outlineLevel="0" collapsed="false">
      <c r="B267" s="33" t="s">
        <v>894</v>
      </c>
      <c r="C267" s="33" t="s">
        <v>365</v>
      </c>
    </row>
    <row r="268" customFormat="false" ht="15" hidden="false" customHeight="false" outlineLevel="0" collapsed="false">
      <c r="B268" s="33" t="s">
        <v>896</v>
      </c>
      <c r="C268" s="33" t="s">
        <v>842</v>
      </c>
    </row>
    <row r="269" customFormat="false" ht="15" hidden="false" customHeight="false" outlineLevel="0" collapsed="false">
      <c r="B269" s="33" t="s">
        <v>898</v>
      </c>
      <c r="C269" s="33" t="s">
        <v>899</v>
      </c>
    </row>
    <row r="270" customFormat="false" ht="15" hidden="false" customHeight="false" outlineLevel="0" collapsed="false">
      <c r="B270" s="33" t="s">
        <v>901</v>
      </c>
      <c r="C270" s="33" t="s">
        <v>902</v>
      </c>
    </row>
    <row r="271" customFormat="false" ht="15" hidden="false" customHeight="false" outlineLevel="0" collapsed="false">
      <c r="B271" s="33" t="s">
        <v>904</v>
      </c>
      <c r="C271" s="33" t="s">
        <v>905</v>
      </c>
    </row>
    <row r="272" customFormat="false" ht="15" hidden="false" customHeight="false" outlineLevel="0" collapsed="false">
      <c r="B272" s="33" t="s">
        <v>907</v>
      </c>
      <c r="C272" s="33" t="s">
        <v>908</v>
      </c>
    </row>
    <row r="273" customFormat="false" ht="15" hidden="false" customHeight="false" outlineLevel="0" collapsed="false">
      <c r="B273" s="33" t="s">
        <v>910</v>
      </c>
      <c r="C273" s="33" t="s">
        <v>911</v>
      </c>
    </row>
    <row r="274" customFormat="false" ht="15" hidden="false" customHeight="false" outlineLevel="0" collapsed="false">
      <c r="B274" s="33" t="s">
        <v>913</v>
      </c>
      <c r="C274" s="33" t="s">
        <v>914</v>
      </c>
    </row>
    <row r="275" customFormat="false" ht="15" hidden="false" customHeight="false" outlineLevel="0" collapsed="false">
      <c r="B275" s="33" t="s">
        <v>917</v>
      </c>
      <c r="C275" s="33" t="s">
        <v>918</v>
      </c>
    </row>
    <row r="276" customFormat="false" ht="15" hidden="false" customHeight="false" outlineLevel="0" collapsed="false">
      <c r="B276" s="33" t="s">
        <v>921</v>
      </c>
      <c r="C276" s="33" t="s">
        <v>922</v>
      </c>
    </row>
    <row r="277" customFormat="false" ht="15" hidden="false" customHeight="false" outlineLevel="0" collapsed="false">
      <c r="B277" s="33" t="s">
        <v>924</v>
      </c>
      <c r="C277" s="33" t="s">
        <v>232</v>
      </c>
    </row>
    <row r="278" customFormat="false" ht="15" hidden="false" customHeight="false" outlineLevel="0" collapsed="false">
      <c r="B278" s="33" t="s">
        <v>926</v>
      </c>
      <c r="C278" s="33" t="s">
        <v>157</v>
      </c>
    </row>
    <row r="279" customFormat="false" ht="15" hidden="false" customHeight="false" outlineLevel="0" collapsed="false">
      <c r="B279" s="33" t="s">
        <v>928</v>
      </c>
      <c r="C279" s="33" t="s">
        <v>929</v>
      </c>
    </row>
    <row r="280" customFormat="false" ht="15" hidden="false" customHeight="false" outlineLevel="0" collapsed="false">
      <c r="B280" s="33" t="s">
        <v>931</v>
      </c>
      <c r="C280" s="33" t="s">
        <v>932</v>
      </c>
    </row>
    <row r="281" customFormat="false" ht="15" hidden="false" customHeight="false" outlineLevel="0" collapsed="false">
      <c r="B281" s="33" t="s">
        <v>935</v>
      </c>
      <c r="C281" s="33" t="s">
        <v>936</v>
      </c>
    </row>
    <row r="282" customFormat="false" ht="15" hidden="false" customHeight="false" outlineLevel="0" collapsed="false">
      <c r="B282" s="33" t="s">
        <v>938</v>
      </c>
      <c r="C282" s="33" t="s">
        <v>922</v>
      </c>
    </row>
    <row r="283" customFormat="false" ht="15" hidden="false" customHeight="false" outlineLevel="0" collapsed="false">
      <c r="B283" s="33" t="s">
        <v>941</v>
      </c>
      <c r="C283" s="33" t="s">
        <v>162</v>
      </c>
    </row>
    <row r="284" customFormat="false" ht="15" hidden="false" customHeight="false" outlineLevel="0" collapsed="false">
      <c r="B284" s="33" t="s">
        <v>943</v>
      </c>
      <c r="C284" s="33" t="s">
        <v>914</v>
      </c>
    </row>
    <row r="285" customFormat="false" ht="15" hidden="false" customHeight="false" outlineLevel="0" collapsed="false">
      <c r="B285" s="33" t="s">
        <v>946</v>
      </c>
      <c r="C285" s="33" t="s">
        <v>914</v>
      </c>
    </row>
    <row r="286" customFormat="false" ht="15" hidden="false" customHeight="false" outlineLevel="0" collapsed="false">
      <c r="B286" s="33" t="s">
        <v>949</v>
      </c>
      <c r="C286" s="33" t="s">
        <v>162</v>
      </c>
    </row>
    <row r="287" customFormat="false" ht="15" hidden="false" customHeight="false" outlineLevel="0" collapsed="false">
      <c r="B287" s="33" t="s">
        <v>951</v>
      </c>
      <c r="C287" s="33" t="s">
        <v>232</v>
      </c>
    </row>
    <row r="288" customFormat="false" ht="15" hidden="false" customHeight="false" outlineLevel="0" collapsed="false">
      <c r="B288" s="33" t="s">
        <v>953</v>
      </c>
      <c r="C288" s="33" t="s">
        <v>954</v>
      </c>
    </row>
    <row r="289" customFormat="false" ht="15" hidden="false" customHeight="false" outlineLevel="0" collapsed="false">
      <c r="B289" s="33" t="s">
        <v>956</v>
      </c>
      <c r="C289" s="33" t="s">
        <v>914</v>
      </c>
    </row>
    <row r="290" customFormat="false" ht="15" hidden="false" customHeight="false" outlineLevel="0" collapsed="false">
      <c r="B290" s="33" t="s">
        <v>958</v>
      </c>
      <c r="C290" s="33" t="s">
        <v>123</v>
      </c>
    </row>
    <row r="291" customFormat="false" ht="15" hidden="false" customHeight="false" outlineLevel="0" collapsed="false">
      <c r="B291" s="33" t="s">
        <v>960</v>
      </c>
      <c r="C291" s="33" t="s">
        <v>961</v>
      </c>
    </row>
    <row r="292" customFormat="false" ht="15" hidden="false" customHeight="false" outlineLevel="0" collapsed="false">
      <c r="B292" s="33" t="s">
        <v>964</v>
      </c>
      <c r="C292" s="33" t="s">
        <v>583</v>
      </c>
    </row>
    <row r="293" customFormat="false" ht="15" hidden="false" customHeight="false" outlineLevel="0" collapsed="false">
      <c r="B293" s="33" t="s">
        <v>966</v>
      </c>
      <c r="C293" s="33" t="s">
        <v>967</v>
      </c>
    </row>
    <row r="294" customFormat="false" ht="15" hidden="false" customHeight="false" outlineLevel="0" collapsed="false">
      <c r="B294" s="33" t="s">
        <v>970</v>
      </c>
      <c r="C294" s="33" t="s">
        <v>929</v>
      </c>
    </row>
    <row r="295" customFormat="false" ht="15" hidden="false" customHeight="false" outlineLevel="0" collapsed="false">
      <c r="B295" s="33" t="s">
        <v>972</v>
      </c>
      <c r="C295" s="33" t="s">
        <v>929</v>
      </c>
    </row>
    <row r="296" customFormat="false" ht="15" hidden="false" customHeight="false" outlineLevel="0" collapsed="false">
      <c r="B296" s="33" t="s">
        <v>974</v>
      </c>
      <c r="C296" s="33" t="s">
        <v>58</v>
      </c>
    </row>
    <row r="297" customFormat="false" ht="15" hidden="false" customHeight="false" outlineLevel="0" collapsed="false">
      <c r="B297" s="33" t="s">
        <v>976</v>
      </c>
      <c r="C297" s="33" t="s">
        <v>977</v>
      </c>
    </row>
    <row r="298" customFormat="false" ht="15" hidden="false" customHeight="false" outlineLevel="0" collapsed="false">
      <c r="B298" s="33" t="s">
        <v>980</v>
      </c>
      <c r="C298" s="33" t="s">
        <v>981</v>
      </c>
    </row>
    <row r="299" customFormat="false" ht="15" hidden="false" customHeight="false" outlineLevel="0" collapsed="false">
      <c r="B299" s="33" t="s">
        <v>983</v>
      </c>
      <c r="C299" s="33" t="s">
        <v>984</v>
      </c>
    </row>
    <row r="300" customFormat="false" ht="15" hidden="false" customHeight="false" outlineLevel="0" collapsed="false">
      <c r="B300" s="33" t="s">
        <v>986</v>
      </c>
      <c r="C300" s="33" t="s">
        <v>987</v>
      </c>
    </row>
    <row r="301" customFormat="false" ht="15" hidden="false" customHeight="false" outlineLevel="0" collapsed="false">
      <c r="B301" s="33" t="s">
        <v>989</v>
      </c>
      <c r="C301" s="33" t="s">
        <v>211</v>
      </c>
    </row>
    <row r="302" customFormat="false" ht="15" hidden="false" customHeight="false" outlineLevel="0" collapsed="false">
      <c r="B302" s="33" t="s">
        <v>991</v>
      </c>
      <c r="C302" s="33" t="s">
        <v>992</v>
      </c>
    </row>
    <row r="303" customFormat="false" ht="15" hidden="false" customHeight="false" outlineLevel="0" collapsed="false">
      <c r="B303" s="33" t="s">
        <v>994</v>
      </c>
      <c r="C303" s="33" t="s">
        <v>58</v>
      </c>
    </row>
    <row r="304" customFormat="false" ht="15" hidden="false" customHeight="false" outlineLevel="0" collapsed="false">
      <c r="B304" s="33" t="s">
        <v>996</v>
      </c>
      <c r="C304" s="33" t="s">
        <v>997</v>
      </c>
    </row>
    <row r="305" customFormat="false" ht="15" hidden="false" customHeight="false" outlineLevel="0" collapsed="false">
      <c r="B305" s="33" t="s">
        <v>999</v>
      </c>
      <c r="C305" s="33" t="s">
        <v>1000</v>
      </c>
    </row>
    <row r="306" customFormat="false" ht="15" hidden="false" customHeight="false" outlineLevel="0" collapsed="false">
      <c r="B306" s="33" t="s">
        <v>1003</v>
      </c>
      <c r="C306" s="33" t="s">
        <v>981</v>
      </c>
    </row>
    <row r="307" customFormat="false" ht="15" hidden="false" customHeight="false" outlineLevel="0" collapsed="false">
      <c r="B307" s="33" t="s">
        <v>1005</v>
      </c>
      <c r="C307" s="33" t="s">
        <v>123</v>
      </c>
    </row>
    <row r="308" customFormat="false" ht="15" hidden="false" customHeight="false" outlineLevel="0" collapsed="false">
      <c r="B308" s="33" t="s">
        <v>1007</v>
      </c>
      <c r="C308" s="33" t="s">
        <v>162</v>
      </c>
    </row>
    <row r="309" customFormat="false" ht="15" hidden="false" customHeight="false" outlineLevel="0" collapsed="false">
      <c r="B309" s="33" t="s">
        <v>1009</v>
      </c>
      <c r="C309" s="33" t="s">
        <v>1010</v>
      </c>
    </row>
    <row r="310" customFormat="false" ht="15" hidden="false" customHeight="false" outlineLevel="0" collapsed="false">
      <c r="B310" s="33" t="s">
        <v>1012</v>
      </c>
      <c r="C310" s="33" t="s">
        <v>954</v>
      </c>
    </row>
    <row r="311" customFormat="false" ht="15" hidden="false" customHeight="false" outlineLevel="0" collapsed="false">
      <c r="B311" s="33" t="s">
        <v>1015</v>
      </c>
      <c r="C311" s="33" t="s">
        <v>1016</v>
      </c>
    </row>
    <row r="312" customFormat="false" ht="15" hidden="false" customHeight="false" outlineLevel="0" collapsed="false">
      <c r="B312" s="33" t="s">
        <v>1018</v>
      </c>
      <c r="C312" s="33" t="s">
        <v>984</v>
      </c>
    </row>
    <row r="313" customFormat="false" ht="15" hidden="false" customHeight="false" outlineLevel="0" collapsed="false">
      <c r="B313" s="33" t="s">
        <v>1020</v>
      </c>
      <c r="C313" s="33" t="s">
        <v>123</v>
      </c>
    </row>
    <row r="314" customFormat="false" ht="15" hidden="false" customHeight="false" outlineLevel="0" collapsed="false">
      <c r="B314" s="33" t="s">
        <v>1022</v>
      </c>
      <c r="C314" s="33" t="s">
        <v>108</v>
      </c>
    </row>
    <row r="315" customFormat="false" ht="15" hidden="false" customHeight="false" outlineLevel="0" collapsed="false">
      <c r="B315" s="33" t="s">
        <v>1024</v>
      </c>
      <c r="C315" s="33" t="s">
        <v>628</v>
      </c>
    </row>
    <row r="316" customFormat="false" ht="15" hidden="false" customHeight="false" outlineLevel="0" collapsed="false">
      <c r="B316" s="33" t="s">
        <v>1026</v>
      </c>
      <c r="C316" s="33" t="s">
        <v>157</v>
      </c>
    </row>
    <row r="317" customFormat="false" ht="15" hidden="false" customHeight="false" outlineLevel="0" collapsed="false">
      <c r="B317" s="33" t="s">
        <v>1028</v>
      </c>
      <c r="C317" s="33" t="s">
        <v>1029</v>
      </c>
    </row>
    <row r="318" customFormat="false" ht="15" hidden="false" customHeight="false" outlineLevel="0" collapsed="false">
      <c r="B318" s="33" t="s">
        <v>1032</v>
      </c>
      <c r="C318" s="33" t="s">
        <v>922</v>
      </c>
    </row>
    <row r="319" customFormat="false" ht="15" hidden="false" customHeight="false" outlineLevel="0" collapsed="false">
      <c r="B319" s="33" t="s">
        <v>1034</v>
      </c>
      <c r="C319" s="33" t="s">
        <v>157</v>
      </c>
    </row>
    <row r="320" customFormat="false" ht="15" hidden="false" customHeight="false" outlineLevel="0" collapsed="false">
      <c r="B320" s="33" t="s">
        <v>1035</v>
      </c>
      <c r="C320" s="33" t="s">
        <v>123</v>
      </c>
    </row>
    <row r="321" customFormat="false" ht="15" hidden="false" customHeight="false" outlineLevel="0" collapsed="false">
      <c r="B321" s="33" t="s">
        <v>1037</v>
      </c>
      <c r="C321" s="33" t="s">
        <v>961</v>
      </c>
    </row>
    <row r="322" customFormat="false" ht="15" hidden="false" customHeight="false" outlineLevel="0" collapsed="false">
      <c r="B322" s="33" t="s">
        <v>1039</v>
      </c>
      <c r="C322" s="33" t="s">
        <v>1040</v>
      </c>
    </row>
    <row r="323" customFormat="false" ht="15" hidden="false" customHeight="false" outlineLevel="0" collapsed="false">
      <c r="B323" s="33" t="s">
        <v>1042</v>
      </c>
      <c r="C323" s="33" t="s">
        <v>162</v>
      </c>
    </row>
    <row r="324" customFormat="false" ht="15" hidden="false" customHeight="false" outlineLevel="0" collapsed="false">
      <c r="B324" s="33" t="s">
        <v>1044</v>
      </c>
      <c r="C324" s="33" t="s">
        <v>932</v>
      </c>
    </row>
    <row r="325" customFormat="false" ht="15" hidden="false" customHeight="false" outlineLevel="0" collapsed="false">
      <c r="B325" s="33" t="s">
        <v>1046</v>
      </c>
      <c r="C325" s="33" t="s">
        <v>1047</v>
      </c>
    </row>
    <row r="326" customFormat="false" ht="15" hidden="false" customHeight="false" outlineLevel="0" collapsed="false">
      <c r="B326" s="33" t="s">
        <v>1051</v>
      </c>
      <c r="C326" s="33" t="s">
        <v>918</v>
      </c>
    </row>
    <row r="327" customFormat="false" ht="15" hidden="false" customHeight="false" outlineLevel="0" collapsed="false">
      <c r="B327" s="33" t="s">
        <v>1053</v>
      </c>
      <c r="C327" s="33" t="s">
        <v>123</v>
      </c>
    </row>
    <row r="328" customFormat="false" ht="15" hidden="false" customHeight="false" outlineLevel="0" collapsed="false">
      <c r="B328" s="33" t="s">
        <v>1055</v>
      </c>
      <c r="C328" s="33" t="s">
        <v>1056</v>
      </c>
    </row>
    <row r="329" customFormat="false" ht="15" hidden="false" customHeight="false" outlineLevel="0" collapsed="false">
      <c r="B329" s="33" t="s">
        <v>1058</v>
      </c>
      <c r="C329" s="33" t="s">
        <v>1059</v>
      </c>
    </row>
    <row r="330" customFormat="false" ht="15" hidden="false" customHeight="false" outlineLevel="0" collapsed="false">
      <c r="B330" s="33" t="s">
        <v>1061</v>
      </c>
      <c r="C330" s="33" t="s">
        <v>538</v>
      </c>
    </row>
    <row r="331" customFormat="false" ht="15" hidden="false" customHeight="false" outlineLevel="0" collapsed="false">
      <c r="B331" s="33" t="s">
        <v>1063</v>
      </c>
      <c r="C331" s="33" t="s">
        <v>1064</v>
      </c>
    </row>
    <row r="332" customFormat="false" ht="15" hidden="false" customHeight="false" outlineLevel="0" collapsed="false">
      <c r="B332" s="33" t="s">
        <v>1066</v>
      </c>
      <c r="C332" s="33" t="s">
        <v>1067</v>
      </c>
    </row>
    <row r="333" customFormat="false" ht="15" hidden="false" customHeight="false" outlineLevel="0" collapsed="false">
      <c r="B333" s="33" t="s">
        <v>1069</v>
      </c>
      <c r="C333" s="33" t="s">
        <v>1070</v>
      </c>
    </row>
    <row r="334" customFormat="false" ht="15" hidden="false" customHeight="false" outlineLevel="0" collapsed="false">
      <c r="B334" s="33" t="s">
        <v>1072</v>
      </c>
      <c r="C334" s="33" t="s">
        <v>1073</v>
      </c>
    </row>
    <row r="335" customFormat="false" ht="15" hidden="false" customHeight="false" outlineLevel="0" collapsed="false">
      <c r="B335" s="33" t="s">
        <v>1075</v>
      </c>
      <c r="C335" s="33" t="s">
        <v>1076</v>
      </c>
    </row>
    <row r="336" customFormat="false" ht="15" hidden="false" customHeight="false" outlineLevel="0" collapsed="false">
      <c r="B336" s="33" t="s">
        <v>1078</v>
      </c>
      <c r="C336" s="33" t="s">
        <v>1056</v>
      </c>
    </row>
    <row r="337" customFormat="false" ht="15" hidden="false" customHeight="false" outlineLevel="0" collapsed="false">
      <c r="B337" s="33" t="s">
        <v>1080</v>
      </c>
      <c r="C337" s="33" t="s">
        <v>1081</v>
      </c>
    </row>
    <row r="338" customFormat="false" ht="15" hidden="false" customHeight="false" outlineLevel="0" collapsed="false">
      <c r="B338" s="33" t="s">
        <v>1084</v>
      </c>
      <c r="C338" s="33" t="s">
        <v>1085</v>
      </c>
    </row>
    <row r="339" customFormat="false" ht="15" hidden="false" customHeight="false" outlineLevel="0" collapsed="false">
      <c r="B339" s="33" t="s">
        <v>1087</v>
      </c>
      <c r="C339" s="33" t="s">
        <v>1067</v>
      </c>
    </row>
    <row r="340" customFormat="false" ht="15" hidden="false" customHeight="false" outlineLevel="0" collapsed="false">
      <c r="B340" s="33" t="s">
        <v>1089</v>
      </c>
      <c r="C340" s="33" t="s">
        <v>1090</v>
      </c>
    </row>
    <row r="341" customFormat="false" ht="15" hidden="false" customHeight="false" outlineLevel="0" collapsed="false">
      <c r="B341" s="33" t="s">
        <v>1093</v>
      </c>
      <c r="C341" s="33" t="s">
        <v>1094</v>
      </c>
    </row>
    <row r="342" customFormat="false" ht="15" hidden="false" customHeight="false" outlineLevel="0" collapsed="false">
      <c r="B342" s="33" t="s">
        <v>1097</v>
      </c>
      <c r="C342" s="33" t="s">
        <v>1085</v>
      </c>
    </row>
    <row r="343" customFormat="false" ht="15" hidden="false" customHeight="false" outlineLevel="0" collapsed="false">
      <c r="B343" s="33" t="s">
        <v>1099</v>
      </c>
      <c r="C343" s="33" t="s">
        <v>798</v>
      </c>
    </row>
    <row r="344" customFormat="false" ht="15" hidden="false" customHeight="false" outlineLevel="0" collapsed="false">
      <c r="B344" s="33" t="s">
        <v>1101</v>
      </c>
      <c r="C344" s="33" t="s">
        <v>1102</v>
      </c>
    </row>
    <row r="345" customFormat="false" ht="15" hidden="false" customHeight="false" outlineLevel="0" collapsed="false">
      <c r="B345" s="33" t="s">
        <v>1104</v>
      </c>
      <c r="C345" s="33" t="s">
        <v>1105</v>
      </c>
    </row>
    <row r="346" customFormat="false" ht="15" hidden="false" customHeight="false" outlineLevel="0" collapsed="false">
      <c r="B346" s="33" t="s">
        <v>1108</v>
      </c>
      <c r="C346" s="33" t="s">
        <v>1109</v>
      </c>
    </row>
    <row r="347" customFormat="false" ht="15" hidden="false" customHeight="false" outlineLevel="0" collapsed="false">
      <c r="B347" s="33" t="s">
        <v>1111</v>
      </c>
      <c r="C347" s="33" t="s">
        <v>1112</v>
      </c>
    </row>
    <row r="348" customFormat="false" ht="15" hidden="false" customHeight="false" outlineLevel="0" collapsed="false">
      <c r="B348" s="33" t="s">
        <v>1114</v>
      </c>
      <c r="C348" s="33" t="s">
        <v>263</v>
      </c>
    </row>
    <row r="349" customFormat="false" ht="15" hidden="false" customHeight="false" outlineLevel="0" collapsed="false">
      <c r="B349" s="33" t="s">
        <v>1116</v>
      </c>
      <c r="C349" s="33" t="s">
        <v>1117</v>
      </c>
    </row>
    <row r="350" customFormat="false" ht="15" hidden="false" customHeight="false" outlineLevel="0" collapsed="false">
      <c r="B350" s="33" t="s">
        <v>1119</v>
      </c>
      <c r="C350" s="33" t="s">
        <v>1120</v>
      </c>
    </row>
    <row r="351" customFormat="false" ht="15" hidden="false" customHeight="false" outlineLevel="0" collapsed="false">
      <c r="B351" s="33" t="s">
        <v>1122</v>
      </c>
      <c r="C351" s="33" t="s">
        <v>1123</v>
      </c>
    </row>
    <row r="352" customFormat="false" ht="15" hidden="false" customHeight="false" outlineLevel="0" collapsed="false">
      <c r="B352" s="33" t="s">
        <v>1125</v>
      </c>
      <c r="C352" s="33" t="s">
        <v>309</v>
      </c>
    </row>
    <row r="353" customFormat="false" ht="15" hidden="false" customHeight="false" outlineLevel="0" collapsed="false">
      <c r="B353" s="33" t="s">
        <v>1127</v>
      </c>
      <c r="C353" s="33" t="s">
        <v>1128</v>
      </c>
    </row>
    <row r="354" customFormat="false" ht="15" hidden="false" customHeight="false" outlineLevel="0" collapsed="false">
      <c r="B354" s="33" t="s">
        <v>1130</v>
      </c>
      <c r="C354" s="33" t="s">
        <v>263</v>
      </c>
    </row>
    <row r="355" customFormat="false" ht="15" hidden="false" customHeight="false" outlineLevel="0" collapsed="false">
      <c r="B355" s="33" t="s">
        <v>1132</v>
      </c>
      <c r="C355" s="33" t="s">
        <v>1133</v>
      </c>
    </row>
    <row r="356" customFormat="false" ht="15" hidden="false" customHeight="false" outlineLevel="0" collapsed="false">
      <c r="B356" s="33" t="s">
        <v>1135</v>
      </c>
      <c r="C356" s="33" t="s">
        <v>1136</v>
      </c>
    </row>
    <row r="357" customFormat="false" ht="15" hidden="false" customHeight="false" outlineLevel="0" collapsed="false">
      <c r="B357" s="33" t="s">
        <v>1138</v>
      </c>
      <c r="C357" s="33" t="s">
        <v>1139</v>
      </c>
    </row>
    <row r="358" customFormat="false" ht="15" hidden="false" customHeight="false" outlineLevel="0" collapsed="false">
      <c r="B358" s="33" t="s">
        <v>1142</v>
      </c>
      <c r="C358" s="33" t="s">
        <v>1143</v>
      </c>
    </row>
    <row r="359" customFormat="false" ht="15" hidden="false" customHeight="false" outlineLevel="0" collapsed="false">
      <c r="B359" s="33" t="s">
        <v>1145</v>
      </c>
      <c r="C359" s="33" t="s">
        <v>1146</v>
      </c>
    </row>
    <row r="360" customFormat="false" ht="15" hidden="false" customHeight="false" outlineLevel="0" collapsed="false">
      <c r="B360" s="33" t="s">
        <v>1148</v>
      </c>
      <c r="C360" s="33" t="s">
        <v>1149</v>
      </c>
    </row>
    <row r="361" customFormat="false" ht="15" hidden="false" customHeight="false" outlineLevel="0" collapsed="false">
      <c r="B361" s="33" t="s">
        <v>1151</v>
      </c>
      <c r="C361" s="33" t="s">
        <v>1152</v>
      </c>
    </row>
    <row r="362" customFormat="false" ht="15" hidden="false" customHeight="false" outlineLevel="0" collapsed="false">
      <c r="B362" s="33" t="s">
        <v>1154</v>
      </c>
      <c r="C362" s="33" t="s">
        <v>1105</v>
      </c>
    </row>
    <row r="363" customFormat="false" ht="15" hidden="false" customHeight="false" outlineLevel="0" collapsed="false">
      <c r="B363" s="33" t="s">
        <v>1156</v>
      </c>
      <c r="C363" s="33" t="s">
        <v>1157</v>
      </c>
    </row>
    <row r="364" customFormat="false" ht="15" hidden="false" customHeight="false" outlineLevel="0" collapsed="false">
      <c r="B364" s="33" t="s">
        <v>1160</v>
      </c>
      <c r="C364" s="33" t="s">
        <v>1161</v>
      </c>
    </row>
    <row r="365" customFormat="false" ht="15" hidden="false" customHeight="false" outlineLevel="0" collapsed="false">
      <c r="B365" s="33" t="s">
        <v>1163</v>
      </c>
      <c r="C365" s="33" t="s">
        <v>1164</v>
      </c>
    </row>
    <row r="366" customFormat="false" ht="15" hidden="false" customHeight="false" outlineLevel="0" collapsed="false">
      <c r="B366" s="33" t="s">
        <v>1166</v>
      </c>
      <c r="C366" s="33" t="s">
        <v>1167</v>
      </c>
    </row>
    <row r="367" customFormat="false" ht="15" hidden="false" customHeight="false" outlineLevel="0" collapsed="false">
      <c r="B367" s="33" t="s">
        <v>1169</v>
      </c>
      <c r="C367" s="33" t="s">
        <v>1170</v>
      </c>
    </row>
    <row r="368" customFormat="false" ht="15" hidden="false" customHeight="false" outlineLevel="0" collapsed="false">
      <c r="B368" s="33" t="s">
        <v>1172</v>
      </c>
      <c r="C368" s="33" t="s">
        <v>1173</v>
      </c>
    </row>
    <row r="369" customFormat="false" ht="15" hidden="false" customHeight="false" outlineLevel="0" collapsed="false">
      <c r="B369" s="33" t="s">
        <v>1176</v>
      </c>
      <c r="C369" s="33" t="s">
        <v>1177</v>
      </c>
    </row>
    <row r="370" customFormat="false" ht="15" hidden="false" customHeight="false" outlineLevel="0" collapsed="false">
      <c r="B370" s="33" t="s">
        <v>1179</v>
      </c>
      <c r="C370" s="33" t="s">
        <v>1085</v>
      </c>
    </row>
    <row r="371" customFormat="false" ht="15" hidden="false" customHeight="false" outlineLevel="0" collapsed="false">
      <c r="B371" s="33" t="s">
        <v>1181</v>
      </c>
      <c r="C371" s="33" t="s">
        <v>1182</v>
      </c>
    </row>
    <row r="372" customFormat="false" ht="15" hidden="false" customHeight="false" outlineLevel="0" collapsed="false">
      <c r="B372" s="33" t="s">
        <v>1184</v>
      </c>
      <c r="C372" s="33" t="s">
        <v>1185</v>
      </c>
    </row>
    <row r="373" customFormat="false" ht="15" hidden="false" customHeight="false" outlineLevel="0" collapsed="false">
      <c r="B373" s="33" t="s">
        <v>1187</v>
      </c>
      <c r="C373" s="33" t="s">
        <v>1188</v>
      </c>
    </row>
    <row r="374" customFormat="false" ht="15" hidden="false" customHeight="false" outlineLevel="0" collapsed="false">
      <c r="B374" s="33" t="s">
        <v>1190</v>
      </c>
      <c r="C374" s="33" t="s">
        <v>1191</v>
      </c>
    </row>
    <row r="375" customFormat="false" ht="15" hidden="false" customHeight="false" outlineLevel="0" collapsed="false">
      <c r="B375" s="33" t="s">
        <v>1193</v>
      </c>
      <c r="C375" s="33" t="s">
        <v>1194</v>
      </c>
    </row>
    <row r="376" customFormat="false" ht="15" hidden="false" customHeight="false" outlineLevel="0" collapsed="false">
      <c r="B376" s="33" t="s">
        <v>1196</v>
      </c>
      <c r="C376" s="33" t="s">
        <v>1197</v>
      </c>
    </row>
    <row r="377" customFormat="false" ht="15" hidden="false" customHeight="false" outlineLevel="0" collapsed="false">
      <c r="B377" s="33" t="s">
        <v>1200</v>
      </c>
      <c r="C377" s="33" t="s">
        <v>1201</v>
      </c>
    </row>
    <row r="378" customFormat="false" ht="15" hidden="false" customHeight="false" outlineLevel="0" collapsed="false">
      <c r="B378" s="33" t="s">
        <v>1204</v>
      </c>
      <c r="C378" s="33" t="s">
        <v>108</v>
      </c>
    </row>
    <row r="379" customFormat="false" ht="15" hidden="false" customHeight="false" outlineLevel="0" collapsed="false">
      <c r="B379" s="33" t="s">
        <v>1207</v>
      </c>
      <c r="C379" s="33" t="s">
        <v>1208</v>
      </c>
    </row>
    <row r="380" customFormat="false" ht="15" hidden="false" customHeight="false" outlineLevel="0" collapsed="false">
      <c r="B380" s="33" t="s">
        <v>1210</v>
      </c>
      <c r="C380" s="33" t="s">
        <v>1211</v>
      </c>
    </row>
    <row r="381" customFormat="false" ht="15" hidden="false" customHeight="false" outlineLevel="0" collapsed="false">
      <c r="B381" s="33" t="s">
        <v>1213</v>
      </c>
      <c r="C381" s="33" t="s">
        <v>961</v>
      </c>
    </row>
    <row r="382" customFormat="false" ht="15" hidden="false" customHeight="false" outlineLevel="0" collapsed="false">
      <c r="B382" s="33" t="s">
        <v>1215</v>
      </c>
      <c r="C382" s="33" t="s">
        <v>961</v>
      </c>
    </row>
    <row r="383" customFormat="false" ht="15" hidden="false" customHeight="false" outlineLevel="0" collapsed="false">
      <c r="B383" s="33" t="s">
        <v>1217</v>
      </c>
      <c r="C383" s="33" t="s">
        <v>1218</v>
      </c>
    </row>
    <row r="384" customFormat="false" ht="15" hidden="false" customHeight="false" outlineLevel="0" collapsed="false">
      <c r="B384" s="33" t="s">
        <v>1220</v>
      </c>
      <c r="C384" s="33" t="s">
        <v>1221</v>
      </c>
    </row>
    <row r="385" customFormat="false" ht="15" hidden="false" customHeight="false" outlineLevel="0" collapsed="false">
      <c r="B385" s="33" t="s">
        <v>1223</v>
      </c>
      <c r="C385" s="33" t="s">
        <v>1224</v>
      </c>
    </row>
    <row r="386" customFormat="false" ht="15" hidden="false" customHeight="false" outlineLevel="0" collapsed="false">
      <c r="B386" s="33" t="s">
        <v>1226</v>
      </c>
      <c r="C386" s="33" t="s">
        <v>1227</v>
      </c>
    </row>
    <row r="387" customFormat="false" ht="15" hidden="false" customHeight="false" outlineLevel="0" collapsed="false">
      <c r="B387" s="33" t="s">
        <v>1229</v>
      </c>
      <c r="C387" s="33" t="s">
        <v>1230</v>
      </c>
    </row>
    <row r="388" customFormat="false" ht="15" hidden="false" customHeight="false" outlineLevel="0" collapsed="false">
      <c r="B388" s="33" t="s">
        <v>1232</v>
      </c>
      <c r="C388" s="33" t="s">
        <v>1233</v>
      </c>
    </row>
    <row r="389" customFormat="false" ht="15" hidden="false" customHeight="false" outlineLevel="0" collapsed="false">
      <c r="B389" s="33" t="s">
        <v>1235</v>
      </c>
      <c r="C389" s="33" t="s">
        <v>1236</v>
      </c>
    </row>
    <row r="390" customFormat="false" ht="15" hidden="false" customHeight="false" outlineLevel="0" collapsed="false">
      <c r="B390" s="33" t="s">
        <v>1238</v>
      </c>
      <c r="C390" s="33" t="s">
        <v>1239</v>
      </c>
    </row>
    <row r="391" customFormat="false" ht="15" hidden="false" customHeight="false" outlineLevel="0" collapsed="false">
      <c r="B391" s="33" t="s">
        <v>1241</v>
      </c>
      <c r="C391" s="33" t="s">
        <v>1242</v>
      </c>
    </row>
    <row r="392" customFormat="false" ht="15" hidden="false" customHeight="false" outlineLevel="0" collapsed="false">
      <c r="B392" s="33" t="s">
        <v>1245</v>
      </c>
      <c r="C392" s="33" t="s">
        <v>1246</v>
      </c>
    </row>
    <row r="393" customFormat="false" ht="15" hidden="false" customHeight="false" outlineLevel="0" collapsed="false">
      <c r="B393" s="33" t="s">
        <v>1248</v>
      </c>
      <c r="C393" s="33" t="s">
        <v>1249</v>
      </c>
    </row>
    <row r="394" customFormat="false" ht="15" hidden="false" customHeight="false" outlineLevel="0" collapsed="false">
      <c r="B394" s="33" t="s">
        <v>1251</v>
      </c>
      <c r="C394" s="33" t="s">
        <v>1252</v>
      </c>
    </row>
    <row r="395" customFormat="false" ht="15" hidden="false" customHeight="false" outlineLevel="0" collapsed="false">
      <c r="B395" s="33" t="s">
        <v>1254</v>
      </c>
      <c r="C395" s="33" t="s">
        <v>1182</v>
      </c>
    </row>
    <row r="396" customFormat="false" ht="15" hidden="false" customHeight="false" outlineLevel="0" collapsed="false">
      <c r="B396" s="33" t="s">
        <v>1257</v>
      </c>
      <c r="C396" s="33" t="s">
        <v>1258</v>
      </c>
    </row>
    <row r="397" customFormat="false" ht="15" hidden="false" customHeight="false" outlineLevel="0" collapsed="false">
      <c r="B397" s="33" t="s">
        <v>1260</v>
      </c>
      <c r="C397" s="33" t="s">
        <v>1261</v>
      </c>
    </row>
    <row r="398" customFormat="false" ht="15" hidden="false" customHeight="false" outlineLevel="0" collapsed="false">
      <c r="B398" s="33" t="s">
        <v>1263</v>
      </c>
      <c r="C398" s="33" t="s">
        <v>1264</v>
      </c>
    </row>
    <row r="399" customFormat="false" ht="15" hidden="false" customHeight="false" outlineLevel="0" collapsed="false">
      <c r="B399" s="33" t="s">
        <v>1267</v>
      </c>
      <c r="C399" s="33" t="s">
        <v>1211</v>
      </c>
    </row>
    <row r="400" customFormat="false" ht="15" hidden="false" customHeight="false" outlineLevel="0" collapsed="false">
      <c r="B400" s="33" t="s">
        <v>1269</v>
      </c>
      <c r="C400" s="33" t="s">
        <v>1270</v>
      </c>
    </row>
    <row r="401" customFormat="false" ht="15" hidden="false" customHeight="false" outlineLevel="0" collapsed="false">
      <c r="B401" s="33" t="s">
        <v>1272</v>
      </c>
      <c r="C401" s="33" t="s">
        <v>1273</v>
      </c>
    </row>
    <row r="402" customFormat="false" ht="15" hidden="false" customHeight="false" outlineLevel="0" collapsed="false">
      <c r="B402" s="33" t="s">
        <v>1276</v>
      </c>
      <c r="C402" s="33" t="s">
        <v>1277</v>
      </c>
    </row>
    <row r="403" customFormat="false" ht="15" hidden="false" customHeight="false" outlineLevel="0" collapsed="false">
      <c r="B403" s="33" t="s">
        <v>1279</v>
      </c>
      <c r="C403" s="33" t="s">
        <v>1233</v>
      </c>
    </row>
    <row r="404" customFormat="false" ht="15" hidden="false" customHeight="false" outlineLevel="0" collapsed="false">
      <c r="B404" s="33" t="s">
        <v>1281</v>
      </c>
      <c r="C404" s="33" t="s">
        <v>1261</v>
      </c>
    </row>
    <row r="405" customFormat="false" ht="15" hidden="false" customHeight="false" outlineLevel="0" collapsed="false">
      <c r="B405" s="33" t="s">
        <v>1283</v>
      </c>
      <c r="C405" s="33" t="s">
        <v>1284</v>
      </c>
    </row>
    <row r="406" customFormat="false" ht="15" hidden="false" customHeight="false" outlineLevel="0" collapsed="false">
      <c r="B406" s="33" t="s">
        <v>1286</v>
      </c>
      <c r="C406" s="33" t="s">
        <v>1188</v>
      </c>
    </row>
    <row r="407" customFormat="false" ht="15" hidden="false" customHeight="false" outlineLevel="0" collapsed="false">
      <c r="B407" s="33" t="s">
        <v>1288</v>
      </c>
      <c r="C407" s="33" t="s">
        <v>1191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2026-06-16T08:14:21Z</dcterms:created>
  <dc:creator>openpyxl</dc:creator>
  <dc:description/>
  <dc:language>en-US</dc:language>
  <cp:lastModifiedBy/>
  <dcterms:modified xsi:type="dcterms:W3CDTF">2026-06-16T08:14:21Z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